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alNTC"/>
    <sheet r:id="rId8" sheetId="8" name="generator"/>
    <sheet r:id="rId9" sheetId="9" name="baseMVA"/>
    <sheet r:id="rId10" sheetId="10" name="timeseries"/>
    <sheet r:id="rId11" sheetId="11" name="zone"/>
    <sheet r:id="rId12" sheetId="12" name="Battery"/>
    <sheet r:id="rId13" sheetId="13" name="solar"/>
  </sheets>
  <calcPr fullCalcOnLoad="1"/>
</workbook>
</file>

<file path=xl/sharedStrings.xml><?xml version="1.0" encoding="utf-8"?>
<sst xmlns="http://schemas.openxmlformats.org/spreadsheetml/2006/main" count="1256" uniqueCount="365">
  <si>
    <t>timeperiod</t>
  </si>
  <si>
    <t>busname</t>
  </si>
  <si>
    <t>name</t>
  </si>
  <si>
    <t>PS</t>
  </si>
  <si>
    <t>QS</t>
  </si>
  <si>
    <t>c4</t>
  </si>
  <si>
    <t>S1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</si>
  <si>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</si>
  <si>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</si>
  <si>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</si>
  <si>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</si>
  <si>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</si>
  <si>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</si>
  <si>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</si>
  <si>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</si>
  <si>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</si>
  <si>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</si>
  <si>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B1</t>
  </si>
  <si>
    <t>B2</t>
  </si>
  <si>
    <t>zone</t>
  </si>
  <si>
    <t>reserve(MW)</t>
  </si>
  <si>
    <t>Demand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</si>
  <si>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</si>
  <si>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</si>
  <si>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</si>
  <si>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</si>
  <si>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</si>
  <si>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</si>
  <si>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</si>
  <si>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</si>
  <si>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</si>
  <si>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</si>
  <si>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</si>
  <si>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</si>
  <si>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</si>
  <si>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</si>
  <si>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D18</t>
  </si>
  <si>
    <t>D19</t>
  </si>
  <si>
    <t>D20</t>
  </si>
  <si>
    <t>baseMVA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</si>
  <si>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</si>
  <si>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</si>
  <si>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</si>
  <si>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</si>
  <si>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</si>
  <si>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</si>
  <si>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</si>
  <si>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</si>
  <si>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</si>
  <si>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</si>
  <si>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</si>
  <si>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</si>
  <si>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</si>
  <si>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</si>
  <si>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</si>
  <si>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probabality</t>
  </si>
  <si>
    <t>startup</t>
  </si>
  <si>
    <t>shutdown</t>
  </si>
  <si>
    <t>costc2</t>
  </si>
  <si>
    <t>costc1</t>
  </si>
  <si>
    <t>costc0</t>
  </si>
  <si>
    <t>bid</t>
  </si>
  <si>
    <t>offer</t>
  </si>
  <si>
    <t>1</t>
  </si>
  <si>
    <t>G1</t>
  </si>
  <si>
    <t>16</t>
  </si>
  <si>
    <t>20</t>
  </si>
  <si>
    <t>0</t>
  </si>
  <si>
    <t>10</t>
  </si>
  <si>
    <t>1.035</t>
  </si>
  <si>
    <t>Coal</t>
  </si>
  <si>
    <t>130</t>
  </si>
  <si>
    <t>400.6849</t>
  </si>
  <si>
    <t>G2</t>
  </si>
  <si>
    <t>G3</t>
  </si>
  <si>
    <t>15.2</t>
  </si>
  <si>
    <t>76</t>
  </si>
  <si>
    <t>-25</t>
  </si>
  <si>
    <t>30</t>
  </si>
  <si>
    <t>0.014142</t>
  </si>
  <si>
    <t>16.0811</t>
  </si>
  <si>
    <t>212.3076</t>
  </si>
  <si>
    <t>G4</t>
  </si>
  <si>
    <t>2</t>
  </si>
  <si>
    <t>G5</t>
  </si>
  <si>
    <t>G6</t>
  </si>
  <si>
    <t>G7</t>
  </si>
  <si>
    <t>G8</t>
  </si>
  <si>
    <t>7</t>
  </si>
  <si>
    <t>G9</t>
  </si>
  <si>
    <t>25</t>
  </si>
  <si>
    <t>100</t>
  </si>
  <si>
    <t>60</t>
  </si>
  <si>
    <t>1.025</t>
  </si>
  <si>
    <t>Oil</t>
  </si>
  <si>
    <t>0.052672</t>
  </si>
  <si>
    <t>43.6615</t>
  </si>
  <si>
    <t>781.521</t>
  </si>
  <si>
    <t>G10</t>
  </si>
  <si>
    <t>G11</t>
  </si>
  <si>
    <t>13</t>
  </si>
  <si>
    <t>G12</t>
  </si>
  <si>
    <t>69</t>
  </si>
  <si>
    <t>197</t>
  </si>
  <si>
    <t>80</t>
  </si>
  <si>
    <t>1.02</t>
  </si>
  <si>
    <t>0.00717</t>
  </si>
  <si>
    <t>48.5804</t>
  </si>
  <si>
    <t>832.7575</t>
  </si>
  <si>
    <t>G13</t>
  </si>
  <si>
    <t>G14</t>
  </si>
  <si>
    <t>14</t>
  </si>
  <si>
    <t>G15</t>
  </si>
  <si>
    <t>-50</t>
  </si>
  <si>
    <t>200</t>
  </si>
  <si>
    <t>0.98</t>
  </si>
  <si>
    <t>NA</t>
  </si>
  <si>
    <t>15</t>
  </si>
  <si>
    <t>G16</t>
  </si>
  <si>
    <t>2.4</t>
  </si>
  <si>
    <t>12</t>
  </si>
  <si>
    <t>6</t>
  </si>
  <si>
    <t>1.014</t>
  </si>
  <si>
    <t>0.328412</t>
  </si>
  <si>
    <t>56.564</t>
  </si>
  <si>
    <t>86.3852</t>
  </si>
  <si>
    <t>G17</t>
  </si>
  <si>
    <t>G18</t>
  </si>
  <si>
    <t>G19</t>
  </si>
  <si>
    <t>G20</t>
  </si>
  <si>
    <t>G21</t>
  </si>
  <si>
    <t>54.3</t>
  </si>
  <si>
    <t>155</t>
  </si>
  <si>
    <t>0.008342</t>
  </si>
  <si>
    <t>12.3883</t>
  </si>
  <si>
    <t>382.2391</t>
  </si>
  <si>
    <t>G22</t>
  </si>
  <si>
    <t>1.017</t>
  </si>
  <si>
    <t>18</t>
  </si>
  <si>
    <t>G23</t>
  </si>
  <si>
    <t>400</t>
  </si>
  <si>
    <t>1.05</t>
  </si>
  <si>
    <t>Nuclear</t>
  </si>
  <si>
    <t>0.000213</t>
  </si>
  <si>
    <t>4.4231</t>
  </si>
  <si>
    <t>395.3749</t>
  </si>
  <si>
    <t>21</t>
  </si>
  <si>
    <t>G24</t>
  </si>
  <si>
    <t>22</t>
  </si>
  <si>
    <t>G25</t>
  </si>
  <si>
    <t>50</t>
  </si>
  <si>
    <t>-10</t>
  </si>
  <si>
    <t>Hydro</t>
  </si>
  <si>
    <t>0.001</t>
  </si>
  <si>
    <t>G26</t>
  </si>
  <si>
    <t>G27</t>
  </si>
  <si>
    <t>G28</t>
  </si>
  <si>
    <t>G29</t>
  </si>
  <si>
    <t>G30</t>
  </si>
  <si>
    <t>23</t>
  </si>
  <si>
    <t>G31</t>
  </si>
  <si>
    <t>G32</t>
  </si>
  <si>
    <t>G33</t>
  </si>
  <si>
    <t>140</t>
  </si>
  <si>
    <t>350</t>
  </si>
  <si>
    <t>150</t>
  </si>
  <si>
    <t>0.004895</t>
  </si>
  <si>
    <t>11.8495</t>
  </si>
  <si>
    <t>665.1094</t>
  </si>
  <si>
    <t>interconnection_ID</t>
  </si>
  <si>
    <t>from_zone</t>
  </si>
  <si>
    <t>to_zone</t>
  </si>
  <si>
    <t>TransferCapacityTo(MW)</t>
  </si>
  <si>
    <t>TransferCapacityFr(MW)</t>
  </si>
  <si>
    <t>GL</t>
  </si>
  <si>
    <t>BL</t>
  </si>
  <si>
    <t>S6</t>
  </si>
  <si>
    <t>failure_rate(1/yr)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</si>
  <si>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</si>
  <si>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</si>
  <si>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</si>
  <si>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</si>
  <si>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</si>
  <si>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</si>
  <si>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</si>
  <si>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</si>
  <si>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</si>
  <si>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</si>
  <si>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</si>
  <si>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</si>
  <si>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</si>
  <si>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probability</t>
  </si>
  <si>
    <t>T1-324</t>
  </si>
  <si>
    <t>3</t>
  </si>
  <si>
    <t>24</t>
  </si>
  <si>
    <t>0.0023</t>
  </si>
  <si>
    <t>0.0839</t>
  </si>
  <si>
    <t>600</t>
  </si>
  <si>
    <t>-360</t>
  </si>
  <si>
    <t>360</t>
  </si>
  <si>
    <t>1.03</t>
  </si>
  <si>
    <t>T2-911</t>
  </si>
  <si>
    <t>9</t>
  </si>
  <si>
    <t>11</t>
  </si>
  <si>
    <t>T3-912</t>
  </si>
  <si>
    <t>T4-1011</t>
  </si>
  <si>
    <t>T5-1012</t>
  </si>
  <si>
    <t>probablity</t>
  </si>
  <si>
    <t>L1-12</t>
  </si>
  <si>
    <t>0.0026</t>
  </si>
  <si>
    <t>0.0139</t>
  </si>
  <si>
    <t>0.4611</t>
  </si>
  <si>
    <t>175</t>
  </si>
  <si>
    <t>L2-13</t>
  </si>
  <si>
    <t>0.0546</t>
  </si>
  <si>
    <t>0.2112</t>
  </si>
  <si>
    <t>0.0572</t>
  </si>
  <si>
    <t>220</t>
  </si>
  <si>
    <t>L3-15</t>
  </si>
  <si>
    <t>5</t>
  </si>
  <si>
    <t>0.0218</t>
  </si>
  <si>
    <t>0.0845</t>
  </si>
  <si>
    <t>0.0229</t>
  </si>
  <si>
    <t>L4-24</t>
  </si>
  <si>
    <t>4</t>
  </si>
  <si>
    <t>0.0328</t>
  </si>
  <si>
    <t>0.1267</t>
  </si>
  <si>
    <t>0.0343</t>
  </si>
  <si>
    <t>L5-26</t>
  </si>
  <si>
    <t>0.0497</t>
  </si>
  <si>
    <t>0.192</t>
  </si>
  <si>
    <t>0.052</t>
  </si>
  <si>
    <t>L6-39</t>
  </si>
  <si>
    <t>0.0308</t>
  </si>
  <si>
    <t>0.119</t>
  </si>
  <si>
    <t>0.0322</t>
  </si>
  <si>
    <t>L7-49</t>
  </si>
  <si>
    <t>0.0268</t>
  </si>
  <si>
    <t>0.1037</t>
  </si>
  <si>
    <t>0.0281</t>
  </si>
  <si>
    <t>L8-510</t>
  </si>
  <si>
    <t>0.0228</t>
  </si>
  <si>
    <t>0.0883</t>
  </si>
  <si>
    <t>0.0239</t>
  </si>
  <si>
    <t>L9-610</t>
  </si>
  <si>
    <t>0.0605</t>
  </si>
  <si>
    <t>2.459</t>
  </si>
  <si>
    <t>L10-78</t>
  </si>
  <si>
    <t>8</t>
  </si>
  <si>
    <t>0.0159</t>
  </si>
  <si>
    <t>0.0614</t>
  </si>
  <si>
    <t>0.0166</t>
  </si>
  <si>
    <t>L11-89</t>
  </si>
  <si>
    <t>0.0427</t>
  </si>
  <si>
    <t>0.1651</t>
  </si>
  <si>
    <t>0.0447</t>
  </si>
  <si>
    <t>L12-810</t>
  </si>
  <si>
    <t>L13-1113</t>
  </si>
  <si>
    <t>0.0061</t>
  </si>
  <si>
    <t>0.0476</t>
  </si>
  <si>
    <t>0.0999</t>
  </si>
  <si>
    <t>625</t>
  </si>
  <si>
    <t>500</t>
  </si>
  <si>
    <t>L14-1114</t>
  </si>
  <si>
    <t>0.0054</t>
  </si>
  <si>
    <t>0.0418</t>
  </si>
  <si>
    <t>0.0879</t>
  </si>
  <si>
    <t>L15-1213</t>
  </si>
  <si>
    <t>L16-1223</t>
  </si>
  <si>
    <t>0.0124</t>
  </si>
  <si>
    <t>0.0966</t>
  </si>
  <si>
    <t>0.203</t>
  </si>
  <si>
    <t>L17-1323</t>
  </si>
  <si>
    <t>0.0111</t>
  </si>
  <si>
    <t>0.0865</t>
  </si>
  <si>
    <t>0.1818</t>
  </si>
  <si>
    <t>L18-1416</t>
  </si>
  <si>
    <t>0.005</t>
  </si>
  <si>
    <t>0.0389</t>
  </si>
  <si>
    <t>0.0818</t>
  </si>
  <si>
    <t>L19-1516</t>
  </si>
  <si>
    <t>0.0022</t>
  </si>
  <si>
    <t>0.0173</t>
  </si>
  <si>
    <t>0.0364</t>
  </si>
  <si>
    <t>L20-1521</t>
  </si>
  <si>
    <t>0.0063</t>
  </si>
  <si>
    <t>0.049</t>
  </si>
  <si>
    <t>0.103</t>
  </si>
  <si>
    <t>L21-1521</t>
  </si>
  <si>
    <t>L22-1524</t>
  </si>
  <si>
    <t>0.0067</t>
  </si>
  <si>
    <t>0.0519</t>
  </si>
  <si>
    <t>0.1091</t>
  </si>
  <si>
    <t>L23-1617</t>
  </si>
  <si>
    <t>17</t>
  </si>
  <si>
    <t>0.0033</t>
  </si>
  <si>
    <t>0.0259</t>
  </si>
  <si>
    <t>0.0545</t>
  </si>
  <si>
    <t>L24-1619</t>
  </si>
  <si>
    <t>19</t>
  </si>
  <si>
    <t>0.003</t>
  </si>
  <si>
    <t>0.0231</t>
  </si>
  <si>
    <t>0.0485</t>
  </si>
  <si>
    <t>L25-1718</t>
  </si>
  <si>
    <t>0.0018</t>
  </si>
  <si>
    <t>0.0144</t>
  </si>
  <si>
    <t>0.0303</t>
  </si>
  <si>
    <t>L26-1722</t>
  </si>
  <si>
    <t>0.0135</t>
  </si>
  <si>
    <t>0.1053</t>
  </si>
  <si>
    <t>0.2212</t>
  </si>
  <si>
    <t>L27-1821</t>
  </si>
  <si>
    <t>L28-1821</t>
  </si>
  <si>
    <t>L29-1920</t>
  </si>
  <si>
    <t>0.0051</t>
  </si>
  <si>
    <t>0.0396</t>
  </si>
  <si>
    <t>0.0833</t>
  </si>
  <si>
    <t>L30-1920</t>
  </si>
  <si>
    <t>L31-2023</t>
  </si>
  <si>
    <t>0.0028</t>
  </si>
  <si>
    <t>0.0216</t>
  </si>
  <si>
    <t>0.0455</t>
  </si>
  <si>
    <t>L32-2023</t>
  </si>
  <si>
    <t>L33-2122</t>
  </si>
  <si>
    <t>0.0087</t>
  </si>
  <si>
    <t>0.0678</t>
  </si>
  <si>
    <t>0.1424</t>
  </si>
  <si>
    <t>real</t>
  </si>
  <si>
    <t>reactive</t>
  </si>
  <si>
    <t>VOLL</t>
  </si>
  <si>
    <t>108</t>
  </si>
  <si>
    <t>97</t>
  </si>
  <si>
    <t>180</t>
  </si>
  <si>
    <t>37</t>
  </si>
  <si>
    <t>74</t>
  </si>
  <si>
    <t>71</t>
  </si>
  <si>
    <t>136</t>
  </si>
  <si>
    <t>28</t>
  </si>
  <si>
    <t>125</t>
  </si>
  <si>
    <t>171</t>
  </si>
  <si>
    <t>35</t>
  </si>
  <si>
    <t>36</t>
  </si>
  <si>
    <t>195</t>
  </si>
  <si>
    <t>40</t>
  </si>
  <si>
    <t>265</t>
  </si>
  <si>
    <t>54</t>
  </si>
  <si>
    <t>194</t>
  </si>
  <si>
    <t>39</t>
  </si>
  <si>
    <t>317</t>
  </si>
  <si>
    <t>64</t>
  </si>
  <si>
    <t>333</t>
  </si>
  <si>
    <t>68</t>
  </si>
  <si>
    <t>181</t>
  </si>
  <si>
    <t>128</t>
  </si>
  <si>
    <t>26</t>
  </si>
  <si>
    <t>baseKV</t>
  </si>
  <si>
    <t>VM</t>
  </si>
  <si>
    <t>VA</t>
  </si>
  <si>
    <t>VNLB</t>
  </si>
  <si>
    <t>VNUB</t>
  </si>
  <si>
    <t>VELB</t>
  </si>
  <si>
    <t>VEUB</t>
  </si>
  <si>
    <t>138</t>
  </si>
  <si>
    <t>0.95</t>
  </si>
  <si>
    <t>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</si>
</sst>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4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right"/>
    </xf>
    <xf xfId="0" numFmtId="3" applyNumberFormat="1" borderId="10" applyBorder="1" fontId="2" applyFont="1" fillId="0" applyAlignment="1">
      <alignment horizontal="left"/>
    </xf>
    <xf xfId="0" numFmtId="3" applyNumberFormat="1" borderId="11" applyBorder="1" fontId="2" applyFont="1" fillId="0" applyAlignment="1">
      <alignment horizontal="left"/>
    </xf>
    <xf xfId="0" numFmtId="3" applyNumberFormat="1" borderId="12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0" fontId="0" fillId="0" applyAlignment="1">
      <alignment horizontal="right"/>
    </xf>
    <xf xfId="0" numFmtId="4" applyNumberFormat="1" borderId="13" applyBorder="1" fontId="1" applyFont="1" fillId="0" applyAlignment="1">
      <alignment horizontal="center"/>
    </xf>
    <xf xfId="0" numFmtId="0" borderId="5" applyBorder="1" fontId="2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3" applyNumberFormat="1" borderId="14" applyBorder="1" fontId="2" applyFont="1" fillId="0" applyAlignment="1">
      <alignment horizontal="right"/>
    </xf>
    <xf xfId="0" numFmtId="3" applyNumberFormat="1" borderId="14" applyBorder="1" fontId="2" applyFont="1" fillId="0" applyAlignment="1">
      <alignment horizontal="left"/>
    </xf>
    <xf xfId="0" numFmtId="4" applyNumberFormat="1" borderId="14" applyBorder="1" fontId="2" applyFont="1" fillId="0" applyAlignment="1">
      <alignment horizontal="right"/>
    </xf>
    <xf xfId="0" numFmtId="4" applyNumberFormat="1" borderId="15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3" applyNumberFormat="1" borderId="11" applyBorder="1" fontId="2" applyFont="1" fillId="0" applyAlignment="1">
      <alignment horizontal="right"/>
    </xf>
    <xf xfId="0" numFmtId="4" applyNumberFormat="1" borderId="11" applyBorder="1" fontId="2" applyFont="1" fillId="0" applyAlignment="1">
      <alignment horizontal="right"/>
    </xf>
    <xf xfId="0" numFmtId="4" applyNumberFormat="1" borderId="16" applyBorder="1" fontId="2" applyFont="1" fillId="0" applyAlignment="1">
      <alignment horizontal="right"/>
    </xf>
    <xf xfId="0" numFmtId="4" applyNumberFormat="1" borderId="17" applyBorder="1" fontId="2" applyFont="1" fillId="0" applyAlignment="1">
      <alignment horizontal="right"/>
    </xf>
    <xf xfId="0" numFmtId="4" applyNumberFormat="1" borderId="9" applyBorder="1" fontId="2" applyFont="1" fillId="0" applyAlignment="1">
      <alignment horizontal="right"/>
    </xf>
    <xf xfId="0" numFmtId="3" applyNumberFormat="1" borderId="17" applyBorder="1" fontId="2" applyFont="1" fillId="0" applyAlignment="1">
      <alignment horizontal="right"/>
    </xf>
    <xf xfId="0" numFmtId="0" borderId="17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0" borderId="12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6" width="11.862142857142858" customWidth="1" bestFit="1"/>
    <col min="4" max="4" style="6" width="11.862142857142858" customWidth="1" bestFit="1"/>
    <col min="5" max="5" style="10" width="11.862142857142858" customWidth="1" bestFit="1"/>
    <col min="6" max="6" style="7" width="11.862142857142858" customWidth="1" bestFit="1"/>
    <col min="7" max="7" style="7" width="11.862142857142858" customWidth="1" bestFit="1"/>
    <col min="8" max="8" style="7" width="11.862142857142858" customWidth="1" bestFit="1"/>
    <col min="9" max="9" style="7" width="11.862142857142858" customWidth="1" bestFit="1"/>
    <col min="10" max="10" style="7" width="11.862142857142858" customWidth="1" bestFit="1"/>
  </cols>
  <sheetData>
    <row x14ac:dyDescent="0.25" r="1" customHeight="1" ht="16.5">
      <c r="A1" s="2" t="s">
        <v>2</v>
      </c>
      <c r="B1" s="2" t="s">
        <v>355</v>
      </c>
      <c r="C1" s="1" t="s">
        <v>41</v>
      </c>
      <c r="D1" s="1" t="s">
        <v>19</v>
      </c>
      <c r="E1" s="8" t="s">
        <v>356</v>
      </c>
      <c r="F1" s="2" t="s">
        <v>357</v>
      </c>
      <c r="G1" s="2" t="s">
        <v>358</v>
      </c>
      <c r="H1" s="2" t="s">
        <v>359</v>
      </c>
      <c r="I1" s="2" t="s">
        <v>360</v>
      </c>
      <c r="J1" s="2" t="s">
        <v>361</v>
      </c>
    </row>
    <row x14ac:dyDescent="0.25" r="2" customHeight="1" ht="16.5">
      <c r="A2" s="30" t="s">
        <v>63</v>
      </c>
      <c r="B2" s="31" t="s">
        <v>362</v>
      </c>
      <c r="C2" s="32">
        <v>2</v>
      </c>
      <c r="D2" s="32">
        <v>1</v>
      </c>
      <c r="E2" s="34">
        <v>1.05</v>
      </c>
      <c r="F2" s="31" t="s">
        <v>67</v>
      </c>
      <c r="G2" s="31" t="s">
        <v>363</v>
      </c>
      <c r="H2" s="31" t="s">
        <v>141</v>
      </c>
      <c r="I2" s="31" t="s">
        <v>363</v>
      </c>
      <c r="J2" s="45" t="s">
        <v>141</v>
      </c>
    </row>
    <row x14ac:dyDescent="0.25" r="3" customHeight="1" ht="16.5">
      <c r="A3" s="36" t="s">
        <v>83</v>
      </c>
      <c r="B3" s="4" t="s">
        <v>362</v>
      </c>
      <c r="C3" s="3">
        <v>2</v>
      </c>
      <c r="D3" s="3">
        <v>1</v>
      </c>
      <c r="E3" s="9">
        <v>1.05</v>
      </c>
      <c r="F3" s="4" t="s">
        <v>67</v>
      </c>
      <c r="G3" s="4" t="s">
        <v>363</v>
      </c>
      <c r="H3" s="4" t="s">
        <v>141</v>
      </c>
      <c r="I3" s="4" t="s">
        <v>363</v>
      </c>
      <c r="J3" s="46" t="s">
        <v>141</v>
      </c>
    </row>
    <row x14ac:dyDescent="0.25" r="4" customHeight="1" ht="16.5">
      <c r="A4" s="36" t="s">
        <v>193</v>
      </c>
      <c r="B4" s="4" t="s">
        <v>362</v>
      </c>
      <c r="C4" s="3">
        <v>1</v>
      </c>
      <c r="D4" s="3">
        <v>1</v>
      </c>
      <c r="E4" s="9">
        <v>1.05</v>
      </c>
      <c r="F4" s="4" t="s">
        <v>67</v>
      </c>
      <c r="G4" s="4" t="s">
        <v>363</v>
      </c>
      <c r="H4" s="4" t="s">
        <v>141</v>
      </c>
      <c r="I4" s="4" t="s">
        <v>363</v>
      </c>
      <c r="J4" s="46" t="s">
        <v>141</v>
      </c>
    </row>
    <row x14ac:dyDescent="0.25" r="5" customHeight="1" ht="16.5">
      <c r="A5" s="36" t="s">
        <v>224</v>
      </c>
      <c r="B5" s="4" t="s">
        <v>362</v>
      </c>
      <c r="C5" s="3">
        <v>1</v>
      </c>
      <c r="D5" s="3">
        <v>1</v>
      </c>
      <c r="E5" s="9">
        <v>1.05</v>
      </c>
      <c r="F5" s="4" t="s">
        <v>67</v>
      </c>
      <c r="G5" s="4" t="s">
        <v>363</v>
      </c>
      <c r="H5" s="4" t="s">
        <v>141</v>
      </c>
      <c r="I5" s="4" t="s">
        <v>363</v>
      </c>
      <c r="J5" s="46" t="s">
        <v>141</v>
      </c>
    </row>
    <row x14ac:dyDescent="0.25" r="6" customHeight="1" ht="16.5">
      <c r="A6" s="36" t="s">
        <v>219</v>
      </c>
      <c r="B6" s="4" t="s">
        <v>362</v>
      </c>
      <c r="C6" s="3">
        <v>1</v>
      </c>
      <c r="D6" s="3">
        <v>1</v>
      </c>
      <c r="E6" s="9">
        <v>1.05</v>
      </c>
      <c r="F6" s="4" t="s">
        <v>67</v>
      </c>
      <c r="G6" s="4" t="s">
        <v>363</v>
      </c>
      <c r="H6" s="4" t="s">
        <v>141</v>
      </c>
      <c r="I6" s="4" t="s">
        <v>363</v>
      </c>
      <c r="J6" s="46" t="s">
        <v>141</v>
      </c>
    </row>
    <row x14ac:dyDescent="0.25" r="7" customHeight="1" ht="16.5">
      <c r="A7" s="36" t="s">
        <v>121</v>
      </c>
      <c r="B7" s="4" t="s">
        <v>362</v>
      </c>
      <c r="C7" s="3">
        <v>1</v>
      </c>
      <c r="D7" s="3">
        <v>1</v>
      </c>
      <c r="E7" s="9">
        <v>1.05</v>
      </c>
      <c r="F7" s="4" t="s">
        <v>67</v>
      </c>
      <c r="G7" s="4" t="s">
        <v>363</v>
      </c>
      <c r="H7" s="4" t="s">
        <v>141</v>
      </c>
      <c r="I7" s="4" t="s">
        <v>363</v>
      </c>
      <c r="J7" s="46" t="s">
        <v>141</v>
      </c>
    </row>
    <row x14ac:dyDescent="0.25" r="8" customHeight="1" ht="16.5">
      <c r="A8" s="36" t="s">
        <v>88</v>
      </c>
      <c r="B8" s="4" t="s">
        <v>362</v>
      </c>
      <c r="C8" s="3">
        <v>2</v>
      </c>
      <c r="D8" s="3">
        <v>1</v>
      </c>
      <c r="E8" s="9">
        <v>1.05</v>
      </c>
      <c r="F8" s="4" t="s">
        <v>67</v>
      </c>
      <c r="G8" s="4" t="s">
        <v>363</v>
      </c>
      <c r="H8" s="4" t="s">
        <v>141</v>
      </c>
      <c r="I8" s="4" t="s">
        <v>363</v>
      </c>
      <c r="J8" s="46" t="s">
        <v>141</v>
      </c>
    </row>
    <row x14ac:dyDescent="0.25" r="9" customHeight="1" ht="16.5">
      <c r="A9" s="36" t="s">
        <v>248</v>
      </c>
      <c r="B9" s="4" t="s">
        <v>362</v>
      </c>
      <c r="C9" s="3">
        <v>1</v>
      </c>
      <c r="D9" s="3">
        <v>1</v>
      </c>
      <c r="E9" s="9">
        <v>1.05</v>
      </c>
      <c r="F9" s="4" t="s">
        <v>67</v>
      </c>
      <c r="G9" s="4" t="s">
        <v>363</v>
      </c>
      <c r="H9" s="4" t="s">
        <v>141</v>
      </c>
      <c r="I9" s="4" t="s">
        <v>363</v>
      </c>
      <c r="J9" s="46" t="s">
        <v>141</v>
      </c>
    </row>
    <row x14ac:dyDescent="0.25" r="10" customHeight="1" ht="16.5">
      <c r="A10" s="36" t="s">
        <v>202</v>
      </c>
      <c r="B10" s="4" t="s">
        <v>362</v>
      </c>
      <c r="C10" s="3">
        <v>1</v>
      </c>
      <c r="D10" s="3">
        <v>1</v>
      </c>
      <c r="E10" s="9">
        <v>1.05</v>
      </c>
      <c r="F10" s="4" t="s">
        <v>67</v>
      </c>
      <c r="G10" s="4" t="s">
        <v>363</v>
      </c>
      <c r="H10" s="4" t="s">
        <v>141</v>
      </c>
      <c r="I10" s="4" t="s">
        <v>363</v>
      </c>
      <c r="J10" s="46" t="s">
        <v>141</v>
      </c>
    </row>
    <row x14ac:dyDescent="0.25" r="11" customHeight="1" ht="16.5">
      <c r="A11" s="36" t="s">
        <v>68</v>
      </c>
      <c r="B11" s="4" t="s">
        <v>362</v>
      </c>
      <c r="C11" s="3">
        <v>1</v>
      </c>
      <c r="D11" s="3">
        <v>1</v>
      </c>
      <c r="E11" s="9">
        <v>1.05</v>
      </c>
      <c r="F11" s="4" t="s">
        <v>67</v>
      </c>
      <c r="G11" s="4" t="s">
        <v>363</v>
      </c>
      <c r="H11" s="4" t="s">
        <v>141</v>
      </c>
      <c r="I11" s="4" t="s">
        <v>363</v>
      </c>
      <c r="J11" s="46" t="s">
        <v>141</v>
      </c>
    </row>
    <row x14ac:dyDescent="0.25" r="12" customHeight="1" ht="16.5">
      <c r="A12" s="36" t="s">
        <v>203</v>
      </c>
      <c r="B12" s="4" t="s">
        <v>364</v>
      </c>
      <c r="C12" s="3">
        <v>1</v>
      </c>
      <c r="D12" s="3">
        <v>1</v>
      </c>
      <c r="E12" s="9">
        <v>1.05</v>
      </c>
      <c r="F12" s="4" t="s">
        <v>67</v>
      </c>
      <c r="G12" s="4" t="s">
        <v>363</v>
      </c>
      <c r="H12" s="4" t="s">
        <v>141</v>
      </c>
      <c r="I12" s="4" t="s">
        <v>363</v>
      </c>
      <c r="J12" s="46" t="s">
        <v>141</v>
      </c>
    </row>
    <row x14ac:dyDescent="0.25" r="13" customHeight="1" ht="16.5">
      <c r="A13" s="36" t="s">
        <v>120</v>
      </c>
      <c r="B13" s="4" t="s">
        <v>364</v>
      </c>
      <c r="C13" s="3">
        <v>1</v>
      </c>
      <c r="D13" s="3">
        <v>1</v>
      </c>
      <c r="E13" s="9">
        <v>1.05</v>
      </c>
      <c r="F13" s="4" t="s">
        <v>67</v>
      </c>
      <c r="G13" s="4" t="s">
        <v>363</v>
      </c>
      <c r="H13" s="4" t="s">
        <v>141</v>
      </c>
      <c r="I13" s="4" t="s">
        <v>363</v>
      </c>
      <c r="J13" s="46" t="s">
        <v>141</v>
      </c>
    </row>
    <row x14ac:dyDescent="0.25" r="14" customHeight="1" ht="16.5">
      <c r="A14" s="36" t="s">
        <v>100</v>
      </c>
      <c r="B14" s="4" t="s">
        <v>364</v>
      </c>
      <c r="C14" s="3">
        <v>3</v>
      </c>
      <c r="D14" s="3">
        <v>1</v>
      </c>
      <c r="E14" s="9">
        <v>1.05</v>
      </c>
      <c r="F14" s="4" t="s">
        <v>67</v>
      </c>
      <c r="G14" s="4" t="s">
        <v>363</v>
      </c>
      <c r="H14" s="4" t="s">
        <v>141</v>
      </c>
      <c r="I14" s="4" t="s">
        <v>363</v>
      </c>
      <c r="J14" s="46" t="s">
        <v>141</v>
      </c>
    </row>
    <row x14ac:dyDescent="0.25" r="15" customHeight="1" ht="16.5">
      <c r="A15" s="36" t="s">
        <v>111</v>
      </c>
      <c r="B15" s="4" t="s">
        <v>364</v>
      </c>
      <c r="C15" s="3">
        <v>2</v>
      </c>
      <c r="D15" s="3">
        <v>1</v>
      </c>
      <c r="E15" s="9">
        <v>1.05</v>
      </c>
      <c r="F15" s="4" t="s">
        <v>67</v>
      </c>
      <c r="G15" s="4" t="s">
        <v>363</v>
      </c>
      <c r="H15" s="4" t="s">
        <v>141</v>
      </c>
      <c r="I15" s="4" t="s">
        <v>363</v>
      </c>
      <c r="J15" s="46" t="s">
        <v>141</v>
      </c>
    </row>
    <row x14ac:dyDescent="0.25" r="16" customHeight="1" ht="16.5">
      <c r="A16" s="36" t="s">
        <v>117</v>
      </c>
      <c r="B16" s="4" t="s">
        <v>364</v>
      </c>
      <c r="C16" s="3">
        <v>2</v>
      </c>
      <c r="D16" s="3">
        <v>1</v>
      </c>
      <c r="E16" s="9">
        <v>1.05</v>
      </c>
      <c r="F16" s="4" t="s">
        <v>67</v>
      </c>
      <c r="G16" s="4" t="s">
        <v>363</v>
      </c>
      <c r="H16" s="4" t="s">
        <v>141</v>
      </c>
      <c r="I16" s="4" t="s">
        <v>363</v>
      </c>
      <c r="J16" s="46" t="s">
        <v>141</v>
      </c>
    </row>
    <row x14ac:dyDescent="0.25" r="17" customHeight="1" ht="16.5">
      <c r="A17" s="36" t="s">
        <v>65</v>
      </c>
      <c r="B17" s="4" t="s">
        <v>364</v>
      </c>
      <c r="C17" s="3">
        <v>2</v>
      </c>
      <c r="D17" s="3">
        <v>1</v>
      </c>
      <c r="E17" s="9">
        <v>1.05</v>
      </c>
      <c r="F17" s="4" t="s">
        <v>67</v>
      </c>
      <c r="G17" s="4" t="s">
        <v>363</v>
      </c>
      <c r="H17" s="4" t="s">
        <v>141</v>
      </c>
      <c r="I17" s="4" t="s">
        <v>363</v>
      </c>
      <c r="J17" s="46" t="s">
        <v>141</v>
      </c>
    </row>
    <row x14ac:dyDescent="0.25" r="18" customHeight="1" ht="16.5">
      <c r="A18" s="36" t="s">
        <v>294</v>
      </c>
      <c r="B18" s="4" t="s">
        <v>364</v>
      </c>
      <c r="C18" s="3">
        <v>1</v>
      </c>
      <c r="D18" s="3">
        <v>1</v>
      </c>
      <c r="E18" s="9">
        <v>1.05</v>
      </c>
      <c r="F18" s="4" t="s">
        <v>67</v>
      </c>
      <c r="G18" s="4" t="s">
        <v>363</v>
      </c>
      <c r="H18" s="4" t="s">
        <v>141</v>
      </c>
      <c r="I18" s="4" t="s">
        <v>363</v>
      </c>
      <c r="J18" s="46" t="s">
        <v>141</v>
      </c>
    </row>
    <row x14ac:dyDescent="0.25" r="19" customHeight="1" ht="16.5">
      <c r="A19" s="36" t="s">
        <v>138</v>
      </c>
      <c r="B19" s="4" t="s">
        <v>364</v>
      </c>
      <c r="C19" s="3">
        <v>2</v>
      </c>
      <c r="D19" s="3">
        <v>1</v>
      </c>
      <c r="E19" s="9">
        <v>1.05</v>
      </c>
      <c r="F19" s="4" t="s">
        <v>67</v>
      </c>
      <c r="G19" s="4" t="s">
        <v>363</v>
      </c>
      <c r="H19" s="4" t="s">
        <v>141</v>
      </c>
      <c r="I19" s="4" t="s">
        <v>363</v>
      </c>
      <c r="J19" s="46" t="s">
        <v>141</v>
      </c>
    </row>
    <row x14ac:dyDescent="0.25" r="20" customHeight="1" ht="16.5">
      <c r="A20" s="36" t="s">
        <v>299</v>
      </c>
      <c r="B20" s="4" t="s">
        <v>364</v>
      </c>
      <c r="C20" s="3">
        <v>1</v>
      </c>
      <c r="D20" s="3">
        <v>1</v>
      </c>
      <c r="E20" s="9">
        <v>1.05</v>
      </c>
      <c r="F20" s="4" t="s">
        <v>67</v>
      </c>
      <c r="G20" s="4" t="s">
        <v>363</v>
      </c>
      <c r="H20" s="4" t="s">
        <v>141</v>
      </c>
      <c r="I20" s="4" t="s">
        <v>363</v>
      </c>
      <c r="J20" s="46" t="s">
        <v>141</v>
      </c>
    </row>
    <row x14ac:dyDescent="0.25" r="21" customHeight="1" ht="16.5">
      <c r="A21" s="36" t="s">
        <v>66</v>
      </c>
      <c r="B21" s="4" t="s">
        <v>364</v>
      </c>
      <c r="C21" s="3">
        <v>1</v>
      </c>
      <c r="D21" s="3">
        <v>1</v>
      </c>
      <c r="E21" s="9">
        <v>1.05</v>
      </c>
      <c r="F21" s="4" t="s">
        <v>67</v>
      </c>
      <c r="G21" s="4" t="s">
        <v>363</v>
      </c>
      <c r="H21" s="4" t="s">
        <v>141</v>
      </c>
      <c r="I21" s="4" t="s">
        <v>363</v>
      </c>
      <c r="J21" s="46" t="s">
        <v>141</v>
      </c>
    </row>
    <row x14ac:dyDescent="0.25" r="22" customHeight="1" ht="16.5">
      <c r="A22" s="36" t="s">
        <v>146</v>
      </c>
      <c r="B22" s="4" t="s">
        <v>364</v>
      </c>
      <c r="C22" s="3">
        <v>2</v>
      </c>
      <c r="D22" s="3">
        <v>1</v>
      </c>
      <c r="E22" s="9">
        <v>1.05</v>
      </c>
      <c r="F22" s="4" t="s">
        <v>67</v>
      </c>
      <c r="G22" s="4" t="s">
        <v>363</v>
      </c>
      <c r="H22" s="4" t="s">
        <v>141</v>
      </c>
      <c r="I22" s="4" t="s">
        <v>363</v>
      </c>
      <c r="J22" s="46" t="s">
        <v>141</v>
      </c>
    </row>
    <row x14ac:dyDescent="0.25" r="23" customHeight="1" ht="16.5">
      <c r="A23" s="36" t="s">
        <v>148</v>
      </c>
      <c r="B23" s="4" t="s">
        <v>364</v>
      </c>
      <c r="C23" s="3">
        <v>2</v>
      </c>
      <c r="D23" s="3">
        <v>1</v>
      </c>
      <c r="E23" s="9">
        <v>1.05</v>
      </c>
      <c r="F23" s="4" t="s">
        <v>67</v>
      </c>
      <c r="G23" s="4" t="s">
        <v>363</v>
      </c>
      <c r="H23" s="4" t="s">
        <v>141</v>
      </c>
      <c r="I23" s="4" t="s">
        <v>363</v>
      </c>
      <c r="J23" s="46" t="s">
        <v>141</v>
      </c>
    </row>
    <row x14ac:dyDescent="0.25" r="24" customHeight="1" ht="16.5">
      <c r="A24" s="36" t="s">
        <v>159</v>
      </c>
      <c r="B24" s="4" t="s">
        <v>364</v>
      </c>
      <c r="C24" s="3">
        <v>2</v>
      </c>
      <c r="D24" s="3">
        <v>1</v>
      </c>
      <c r="E24" s="9">
        <v>1.05</v>
      </c>
      <c r="F24" s="4" t="s">
        <v>67</v>
      </c>
      <c r="G24" s="4" t="s">
        <v>363</v>
      </c>
      <c r="H24" s="4" t="s">
        <v>141</v>
      </c>
      <c r="I24" s="4" t="s">
        <v>363</v>
      </c>
      <c r="J24" s="46" t="s">
        <v>141</v>
      </c>
    </row>
    <row x14ac:dyDescent="0.25" r="25" customHeight="1" ht="16.5">
      <c r="A25" s="37" t="s">
        <v>194</v>
      </c>
      <c r="B25" s="38" t="s">
        <v>364</v>
      </c>
      <c r="C25" s="39">
        <v>1</v>
      </c>
      <c r="D25" s="39">
        <v>1</v>
      </c>
      <c r="E25" s="9">
        <v>1.05</v>
      </c>
      <c r="F25" s="38" t="s">
        <v>67</v>
      </c>
      <c r="G25" s="38" t="s">
        <v>363</v>
      </c>
      <c r="H25" s="38" t="s">
        <v>141</v>
      </c>
      <c r="I25" s="38" t="s">
        <v>363</v>
      </c>
      <c r="J25" s="47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7" width="11.862142857142858" customWidth="1" bestFit="1"/>
    <col min="5" max="5" style="7" width="11.862142857142858" customWidth="1" bestFit="1"/>
    <col min="6" max="6" style="6" width="11.862142857142858" customWidth="1" bestFit="1"/>
  </cols>
  <sheetData>
    <row x14ac:dyDescent="0.25" r="1" customHeight="1" ht="16.5">
      <c r="A1" s="2" t="s">
        <v>2</v>
      </c>
      <c r="B1" s="2" t="s">
        <v>1</v>
      </c>
      <c r="C1" s="2" t="s">
        <v>327</v>
      </c>
      <c r="D1" s="2" t="s">
        <v>328</v>
      </c>
      <c r="E1" s="2" t="s">
        <v>40</v>
      </c>
      <c r="F1" s="1" t="s">
        <v>329</v>
      </c>
    </row>
    <row x14ac:dyDescent="0.25" r="2" customHeight="1" ht="16.5">
      <c r="A2" s="30" t="s">
        <v>22</v>
      </c>
      <c r="B2" s="31" t="s">
        <v>63</v>
      </c>
      <c r="C2" s="31" t="s">
        <v>330</v>
      </c>
      <c r="D2" s="31" t="s">
        <v>148</v>
      </c>
      <c r="E2" s="31" t="s">
        <v>63</v>
      </c>
      <c r="F2" s="44">
        <v>7000</v>
      </c>
    </row>
    <row x14ac:dyDescent="0.25" r="3" customHeight="1" ht="16.5">
      <c r="A3" s="36" t="s">
        <v>23</v>
      </c>
      <c r="B3" s="4" t="s">
        <v>83</v>
      </c>
      <c r="C3" s="4" t="s">
        <v>331</v>
      </c>
      <c r="D3" s="4" t="s">
        <v>66</v>
      </c>
      <c r="E3" s="4" t="s">
        <v>63</v>
      </c>
      <c r="F3" s="44">
        <v>7000</v>
      </c>
    </row>
    <row x14ac:dyDescent="0.25" r="4" customHeight="1" ht="16.5">
      <c r="A4" s="36" t="s">
        <v>24</v>
      </c>
      <c r="B4" s="4" t="s">
        <v>193</v>
      </c>
      <c r="C4" s="4" t="s">
        <v>332</v>
      </c>
      <c r="D4" s="4" t="s">
        <v>333</v>
      </c>
      <c r="E4" s="4" t="s">
        <v>63</v>
      </c>
      <c r="F4" s="44">
        <v>7000</v>
      </c>
    </row>
    <row x14ac:dyDescent="0.25" r="5" customHeight="1" ht="16.5">
      <c r="A5" s="36" t="s">
        <v>25</v>
      </c>
      <c r="B5" s="4" t="s">
        <v>224</v>
      </c>
      <c r="C5" s="4" t="s">
        <v>334</v>
      </c>
      <c r="D5" s="4" t="s">
        <v>117</v>
      </c>
      <c r="E5" s="4" t="s">
        <v>63</v>
      </c>
      <c r="F5" s="44">
        <v>7000</v>
      </c>
    </row>
    <row x14ac:dyDescent="0.25" r="6" customHeight="1" ht="16.5">
      <c r="A6" s="36" t="s">
        <v>26</v>
      </c>
      <c r="B6" s="4" t="s">
        <v>219</v>
      </c>
      <c r="C6" s="4" t="s">
        <v>335</v>
      </c>
      <c r="D6" s="4" t="s">
        <v>111</v>
      </c>
      <c r="E6" s="4" t="s">
        <v>63</v>
      </c>
      <c r="F6" s="44">
        <v>7000</v>
      </c>
    </row>
    <row x14ac:dyDescent="0.25" r="7" customHeight="1" ht="16.5">
      <c r="A7" s="36" t="s">
        <v>27</v>
      </c>
      <c r="B7" s="4" t="s">
        <v>121</v>
      </c>
      <c r="C7" s="4" t="s">
        <v>336</v>
      </c>
      <c r="D7" s="4" t="s">
        <v>337</v>
      </c>
      <c r="E7" s="4" t="s">
        <v>63</v>
      </c>
      <c r="F7" s="44">
        <v>7000</v>
      </c>
    </row>
    <row x14ac:dyDescent="0.25" r="8" customHeight="1" ht="16.5">
      <c r="A8" s="36" t="s">
        <v>28</v>
      </c>
      <c r="B8" s="4" t="s">
        <v>88</v>
      </c>
      <c r="C8" s="4" t="s">
        <v>338</v>
      </c>
      <c r="D8" s="4" t="s">
        <v>90</v>
      </c>
      <c r="E8" s="4" t="s">
        <v>63</v>
      </c>
      <c r="F8" s="44">
        <v>7000</v>
      </c>
    </row>
    <row x14ac:dyDescent="0.25" r="9" customHeight="1" ht="16.5">
      <c r="A9" s="36" t="s">
        <v>29</v>
      </c>
      <c r="B9" s="4" t="s">
        <v>248</v>
      </c>
      <c r="C9" s="4" t="s">
        <v>339</v>
      </c>
      <c r="D9" s="4" t="s">
        <v>340</v>
      </c>
      <c r="E9" s="4" t="s">
        <v>63</v>
      </c>
      <c r="F9" s="44">
        <v>7000</v>
      </c>
    </row>
    <row x14ac:dyDescent="0.25" r="10" customHeight="1" ht="16.5">
      <c r="A10" s="36" t="s">
        <v>30</v>
      </c>
      <c r="B10" s="4" t="s">
        <v>202</v>
      </c>
      <c r="C10" s="4" t="s">
        <v>212</v>
      </c>
      <c r="D10" s="4" t="s">
        <v>341</v>
      </c>
      <c r="E10" s="4" t="s">
        <v>63</v>
      </c>
      <c r="F10" s="44">
        <v>7000</v>
      </c>
    </row>
    <row x14ac:dyDescent="0.25" r="11" customHeight="1" ht="16.5">
      <c r="A11" s="36" t="s">
        <v>31</v>
      </c>
      <c r="B11" s="4" t="s">
        <v>68</v>
      </c>
      <c r="C11" s="4" t="s">
        <v>342</v>
      </c>
      <c r="D11" s="4" t="s">
        <v>343</v>
      </c>
      <c r="E11" s="4" t="s">
        <v>63</v>
      </c>
      <c r="F11" s="44">
        <v>7000</v>
      </c>
    </row>
    <row x14ac:dyDescent="0.25" r="12" customHeight="1" ht="16.5">
      <c r="A12" s="36" t="s">
        <v>32</v>
      </c>
      <c r="B12" s="4" t="s">
        <v>100</v>
      </c>
      <c r="C12" s="4" t="s">
        <v>344</v>
      </c>
      <c r="D12" s="4" t="s">
        <v>345</v>
      </c>
      <c r="E12" s="4" t="s">
        <v>63</v>
      </c>
      <c r="F12" s="44">
        <v>7000</v>
      </c>
    </row>
    <row x14ac:dyDescent="0.25" r="13" customHeight="1" ht="16.5">
      <c r="A13" s="36" t="s">
        <v>33</v>
      </c>
      <c r="B13" s="4" t="s">
        <v>111</v>
      </c>
      <c r="C13" s="4" t="s">
        <v>346</v>
      </c>
      <c r="D13" s="4" t="s">
        <v>347</v>
      </c>
      <c r="E13" s="4" t="s">
        <v>63</v>
      </c>
      <c r="F13" s="44">
        <v>7000</v>
      </c>
    </row>
    <row x14ac:dyDescent="0.25" r="14" customHeight="1" ht="16.5">
      <c r="A14" s="36" t="s">
        <v>34</v>
      </c>
      <c r="B14" s="4" t="s">
        <v>117</v>
      </c>
      <c r="C14" s="4" t="s">
        <v>348</v>
      </c>
      <c r="D14" s="4" t="s">
        <v>349</v>
      </c>
      <c r="E14" s="4" t="s">
        <v>63</v>
      </c>
      <c r="F14" s="44">
        <v>7000</v>
      </c>
    </row>
    <row x14ac:dyDescent="0.25" r="15" customHeight="1" ht="16.5">
      <c r="A15" s="36" t="s">
        <v>35</v>
      </c>
      <c r="B15" s="4" t="s">
        <v>65</v>
      </c>
      <c r="C15" s="4" t="s">
        <v>91</v>
      </c>
      <c r="D15" s="4" t="s">
        <v>66</v>
      </c>
      <c r="E15" s="4" t="s">
        <v>63</v>
      </c>
      <c r="F15" s="44">
        <v>7000</v>
      </c>
    </row>
    <row x14ac:dyDescent="0.25" r="16" customHeight="1" ht="16.5">
      <c r="A16" s="36" t="s">
        <v>36</v>
      </c>
      <c r="B16" s="4" t="s">
        <v>138</v>
      </c>
      <c r="C16" s="4" t="s">
        <v>350</v>
      </c>
      <c r="D16" s="4" t="s">
        <v>351</v>
      </c>
      <c r="E16" s="4" t="s">
        <v>63</v>
      </c>
      <c r="F16" s="44">
        <v>7000</v>
      </c>
    </row>
    <row x14ac:dyDescent="0.25" r="17" customHeight="1" ht="16.5">
      <c r="A17" s="36" t="s">
        <v>37</v>
      </c>
      <c r="B17" s="4" t="s">
        <v>299</v>
      </c>
      <c r="C17" s="4" t="s">
        <v>352</v>
      </c>
      <c r="D17" s="4" t="s">
        <v>333</v>
      </c>
      <c r="E17" s="4" t="s">
        <v>63</v>
      </c>
      <c r="F17" s="44">
        <v>7000</v>
      </c>
    </row>
    <row x14ac:dyDescent="0.25" r="18" customHeight="1" ht="16.5">
      <c r="A18" s="37" t="s">
        <v>38</v>
      </c>
      <c r="B18" s="38" t="s">
        <v>66</v>
      </c>
      <c r="C18" s="38" t="s">
        <v>353</v>
      </c>
      <c r="D18" s="38" t="s">
        <v>354</v>
      </c>
      <c r="E18" s="38" t="s">
        <v>63</v>
      </c>
      <c r="F18" s="44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7" width="11.862142857142858" customWidth="1" bestFit="1"/>
    <col min="5" max="5" style="7" width="11.862142857142858" customWidth="1" bestFit="1"/>
    <col min="6" max="6" style="7" width="11.862142857142858" customWidth="1" bestFit="1"/>
    <col min="7" max="7" style="7" width="11.862142857142858" customWidth="1" bestFit="1"/>
    <col min="8" max="8" style="7" width="11.862142857142858" customWidth="1" bestFit="1"/>
    <col min="9" max="9" style="7" width="11.862142857142858" customWidth="1" bestFit="1"/>
    <col min="10" max="10" style="7" width="11.862142857142858" customWidth="1" bestFit="1"/>
    <col min="11" max="11" style="7" width="11.862142857142858" customWidth="1" bestFit="1"/>
    <col min="12" max="12" style="6" width="11.862142857142858" customWidth="1" bestFit="1"/>
    <col min="13" max="13" style="10" width="11.862142857142858" customWidth="1" bestFit="1"/>
  </cols>
  <sheetData>
    <row x14ac:dyDescent="0.25" r="1" customHeight="1" ht="16.5">
      <c r="A1" s="2" t="s">
        <v>2</v>
      </c>
      <c r="B1" s="2" t="s">
        <v>178</v>
      </c>
      <c r="C1" s="2" t="s">
        <v>179</v>
      </c>
      <c r="D1" s="2" t="s">
        <v>40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184</v>
      </c>
      <c r="J1" s="2" t="s">
        <v>185</v>
      </c>
      <c r="K1" s="2" t="s">
        <v>186</v>
      </c>
      <c r="L1" s="1" t="s">
        <v>54</v>
      </c>
      <c r="M1" s="8" t="s">
        <v>207</v>
      </c>
    </row>
    <row x14ac:dyDescent="0.25" r="2" customHeight="1" ht="16.5">
      <c r="A2" s="30" t="s">
        <v>208</v>
      </c>
      <c r="B2" s="31" t="s">
        <v>63</v>
      </c>
      <c r="C2" s="31" t="s">
        <v>83</v>
      </c>
      <c r="D2" s="31" t="s">
        <v>63</v>
      </c>
      <c r="E2" s="31" t="s">
        <v>209</v>
      </c>
      <c r="F2" s="31" t="s">
        <v>210</v>
      </c>
      <c r="G2" s="31" t="s">
        <v>211</v>
      </c>
      <c r="H2" s="31" t="s">
        <v>114</v>
      </c>
      <c r="I2" s="31" t="s">
        <v>212</v>
      </c>
      <c r="J2" s="31" t="s">
        <v>198</v>
      </c>
      <c r="K2" s="31" t="s">
        <v>199</v>
      </c>
      <c r="L2" s="32">
        <v>0</v>
      </c>
      <c r="M2" s="42">
        <v>0.001</v>
      </c>
    </row>
    <row x14ac:dyDescent="0.25" r="3" customHeight="1" ht="16.5">
      <c r="A3" s="36" t="s">
        <v>213</v>
      </c>
      <c r="B3" s="4" t="s">
        <v>63</v>
      </c>
      <c r="C3" s="4" t="s">
        <v>193</v>
      </c>
      <c r="D3" s="4" t="s">
        <v>63</v>
      </c>
      <c r="E3" s="4" t="s">
        <v>214</v>
      </c>
      <c r="F3" s="4" t="s">
        <v>215</v>
      </c>
      <c r="G3" s="4" t="s">
        <v>216</v>
      </c>
      <c r="H3" s="4" t="s">
        <v>217</v>
      </c>
      <c r="I3" s="4" t="s">
        <v>212</v>
      </c>
      <c r="J3" s="4" t="s">
        <v>198</v>
      </c>
      <c r="K3" s="4" t="s">
        <v>199</v>
      </c>
      <c r="L3" s="3">
        <v>0</v>
      </c>
      <c r="M3" s="43">
        <v>0.001</v>
      </c>
    </row>
    <row x14ac:dyDescent="0.25" r="4" customHeight="1" ht="16.5">
      <c r="A4" s="36" t="s">
        <v>218</v>
      </c>
      <c r="B4" s="4" t="s">
        <v>63</v>
      </c>
      <c r="C4" s="4" t="s">
        <v>219</v>
      </c>
      <c r="D4" s="4" t="s">
        <v>63</v>
      </c>
      <c r="E4" s="4" t="s">
        <v>220</v>
      </c>
      <c r="F4" s="4" t="s">
        <v>221</v>
      </c>
      <c r="G4" s="4" t="s">
        <v>222</v>
      </c>
      <c r="H4" s="4" t="s">
        <v>217</v>
      </c>
      <c r="I4" s="4" t="s">
        <v>212</v>
      </c>
      <c r="J4" s="4" t="s">
        <v>198</v>
      </c>
      <c r="K4" s="4" t="s">
        <v>199</v>
      </c>
      <c r="L4" s="3">
        <v>0</v>
      </c>
      <c r="M4" s="43">
        <v>0.001</v>
      </c>
    </row>
    <row x14ac:dyDescent="0.25" r="5" customHeight="1" ht="16.5">
      <c r="A5" s="36" t="s">
        <v>223</v>
      </c>
      <c r="B5" s="4" t="s">
        <v>83</v>
      </c>
      <c r="C5" s="4" t="s">
        <v>224</v>
      </c>
      <c r="D5" s="4" t="s">
        <v>63</v>
      </c>
      <c r="E5" s="4" t="s">
        <v>225</v>
      </c>
      <c r="F5" s="4" t="s">
        <v>226</v>
      </c>
      <c r="G5" s="4" t="s">
        <v>227</v>
      </c>
      <c r="H5" s="4" t="s">
        <v>217</v>
      </c>
      <c r="I5" s="4" t="s">
        <v>212</v>
      </c>
      <c r="J5" s="4" t="s">
        <v>198</v>
      </c>
      <c r="K5" s="4" t="s">
        <v>199</v>
      </c>
      <c r="L5" s="3">
        <v>0</v>
      </c>
      <c r="M5" s="42">
        <v>0.001</v>
      </c>
    </row>
    <row x14ac:dyDescent="0.25" r="6" customHeight="1" ht="16.5">
      <c r="A6" s="36" t="s">
        <v>228</v>
      </c>
      <c r="B6" s="4" t="s">
        <v>83</v>
      </c>
      <c r="C6" s="4" t="s">
        <v>121</v>
      </c>
      <c r="D6" s="4" t="s">
        <v>63</v>
      </c>
      <c r="E6" s="4" t="s">
        <v>229</v>
      </c>
      <c r="F6" s="4" t="s">
        <v>230</v>
      </c>
      <c r="G6" s="4" t="s">
        <v>231</v>
      </c>
      <c r="H6" s="4" t="s">
        <v>217</v>
      </c>
      <c r="I6" s="4" t="s">
        <v>212</v>
      </c>
      <c r="J6" s="4" t="s">
        <v>198</v>
      </c>
      <c r="K6" s="4" t="s">
        <v>199</v>
      </c>
      <c r="L6" s="3">
        <v>0</v>
      </c>
      <c r="M6" s="43">
        <v>0.001</v>
      </c>
    </row>
    <row x14ac:dyDescent="0.25" r="7" customHeight="1" ht="16.5">
      <c r="A7" s="36" t="s">
        <v>232</v>
      </c>
      <c r="B7" s="4" t="s">
        <v>193</v>
      </c>
      <c r="C7" s="4" t="s">
        <v>202</v>
      </c>
      <c r="D7" s="4" t="s">
        <v>63</v>
      </c>
      <c r="E7" s="4" t="s">
        <v>233</v>
      </c>
      <c r="F7" s="4" t="s">
        <v>234</v>
      </c>
      <c r="G7" s="4" t="s">
        <v>235</v>
      </c>
      <c r="H7" s="4" t="s">
        <v>217</v>
      </c>
      <c r="I7" s="4" t="s">
        <v>212</v>
      </c>
      <c r="J7" s="4" t="s">
        <v>198</v>
      </c>
      <c r="K7" s="4" t="s">
        <v>199</v>
      </c>
      <c r="L7" s="3">
        <v>0</v>
      </c>
      <c r="M7" s="43">
        <v>0.001</v>
      </c>
    </row>
    <row x14ac:dyDescent="0.25" r="8" customHeight="1" ht="16.5">
      <c r="A8" s="36" t="s">
        <v>236</v>
      </c>
      <c r="B8" s="4" t="s">
        <v>224</v>
      </c>
      <c r="C8" s="4" t="s">
        <v>202</v>
      </c>
      <c r="D8" s="4" t="s">
        <v>63</v>
      </c>
      <c r="E8" s="4" t="s">
        <v>237</v>
      </c>
      <c r="F8" s="4" t="s">
        <v>238</v>
      </c>
      <c r="G8" s="4" t="s">
        <v>239</v>
      </c>
      <c r="H8" s="4" t="s">
        <v>217</v>
      </c>
      <c r="I8" s="4" t="s">
        <v>212</v>
      </c>
      <c r="J8" s="4" t="s">
        <v>198</v>
      </c>
      <c r="K8" s="4" t="s">
        <v>199</v>
      </c>
      <c r="L8" s="3">
        <v>0</v>
      </c>
      <c r="M8" s="42">
        <v>0.001</v>
      </c>
    </row>
    <row x14ac:dyDescent="0.25" r="9" customHeight="1" ht="16.5">
      <c r="A9" s="36" t="s">
        <v>240</v>
      </c>
      <c r="B9" s="4" t="s">
        <v>219</v>
      </c>
      <c r="C9" s="4" t="s">
        <v>68</v>
      </c>
      <c r="D9" s="4" t="s">
        <v>63</v>
      </c>
      <c r="E9" s="4" t="s">
        <v>241</v>
      </c>
      <c r="F9" s="4" t="s">
        <v>242</v>
      </c>
      <c r="G9" s="4" t="s">
        <v>243</v>
      </c>
      <c r="H9" s="4" t="s">
        <v>217</v>
      </c>
      <c r="I9" s="4" t="s">
        <v>212</v>
      </c>
      <c r="J9" s="4" t="s">
        <v>198</v>
      </c>
      <c r="K9" s="4" t="s">
        <v>199</v>
      </c>
      <c r="L9" s="3">
        <v>0</v>
      </c>
      <c r="M9" s="43">
        <v>0.001</v>
      </c>
    </row>
    <row x14ac:dyDescent="0.25" r="10" customHeight="1" ht="16.5">
      <c r="A10" s="36" t="s">
        <v>244</v>
      </c>
      <c r="B10" s="4" t="s">
        <v>121</v>
      </c>
      <c r="C10" s="4" t="s">
        <v>68</v>
      </c>
      <c r="D10" s="4" t="s">
        <v>63</v>
      </c>
      <c r="E10" s="4" t="s">
        <v>210</v>
      </c>
      <c r="F10" s="4" t="s">
        <v>245</v>
      </c>
      <c r="G10" s="4" t="s">
        <v>246</v>
      </c>
      <c r="H10" s="4" t="s">
        <v>114</v>
      </c>
      <c r="I10" s="4" t="s">
        <v>212</v>
      </c>
      <c r="J10" s="4" t="s">
        <v>198</v>
      </c>
      <c r="K10" s="4" t="s">
        <v>199</v>
      </c>
      <c r="L10" s="3">
        <v>0</v>
      </c>
      <c r="M10" s="43">
        <v>0.001</v>
      </c>
    </row>
    <row x14ac:dyDescent="0.25" r="11" customHeight="1" ht="16.5">
      <c r="A11" s="36" t="s">
        <v>247</v>
      </c>
      <c r="B11" s="4" t="s">
        <v>88</v>
      </c>
      <c r="C11" s="4" t="s">
        <v>248</v>
      </c>
      <c r="D11" s="4" t="s">
        <v>63</v>
      </c>
      <c r="E11" s="4" t="s">
        <v>249</v>
      </c>
      <c r="F11" s="4" t="s">
        <v>250</v>
      </c>
      <c r="G11" s="4" t="s">
        <v>251</v>
      </c>
      <c r="H11" s="4" t="s">
        <v>217</v>
      </c>
      <c r="I11" s="4" t="s">
        <v>212</v>
      </c>
      <c r="J11" s="4" t="s">
        <v>198</v>
      </c>
      <c r="K11" s="4" t="s">
        <v>199</v>
      </c>
      <c r="L11" s="3">
        <v>0</v>
      </c>
      <c r="M11" s="42">
        <v>0.001</v>
      </c>
    </row>
    <row x14ac:dyDescent="0.25" r="12" customHeight="1" ht="16.5">
      <c r="A12" s="36" t="s">
        <v>252</v>
      </c>
      <c r="B12" s="4" t="s">
        <v>248</v>
      </c>
      <c r="C12" s="4" t="s">
        <v>202</v>
      </c>
      <c r="D12" s="4" t="s">
        <v>63</v>
      </c>
      <c r="E12" s="4" t="s">
        <v>253</v>
      </c>
      <c r="F12" s="4" t="s">
        <v>254</v>
      </c>
      <c r="G12" s="4" t="s">
        <v>255</v>
      </c>
      <c r="H12" s="4" t="s">
        <v>217</v>
      </c>
      <c r="I12" s="4" t="s">
        <v>212</v>
      </c>
      <c r="J12" s="4" t="s">
        <v>198</v>
      </c>
      <c r="K12" s="4" t="s">
        <v>199</v>
      </c>
      <c r="L12" s="3">
        <v>0</v>
      </c>
      <c r="M12" s="43">
        <v>0.001</v>
      </c>
    </row>
    <row x14ac:dyDescent="0.25" r="13" customHeight="1" ht="16.5">
      <c r="A13" s="36" t="s">
        <v>256</v>
      </c>
      <c r="B13" s="4" t="s">
        <v>248</v>
      </c>
      <c r="C13" s="4" t="s">
        <v>68</v>
      </c>
      <c r="D13" s="4" t="s">
        <v>63</v>
      </c>
      <c r="E13" s="4" t="s">
        <v>253</v>
      </c>
      <c r="F13" s="4" t="s">
        <v>254</v>
      </c>
      <c r="G13" s="4" t="s">
        <v>255</v>
      </c>
      <c r="H13" s="4" t="s">
        <v>217</v>
      </c>
      <c r="I13" s="4" t="s">
        <v>212</v>
      </c>
      <c r="J13" s="4" t="s">
        <v>198</v>
      </c>
      <c r="K13" s="4" t="s">
        <v>199</v>
      </c>
      <c r="L13" s="3">
        <v>0</v>
      </c>
      <c r="M13" s="43">
        <v>0.001</v>
      </c>
    </row>
    <row x14ac:dyDescent="0.25" r="14" customHeight="1" ht="16.5">
      <c r="A14" s="36" t="s">
        <v>257</v>
      </c>
      <c r="B14" s="4" t="s">
        <v>203</v>
      </c>
      <c r="C14" s="4" t="s">
        <v>100</v>
      </c>
      <c r="D14" s="4" t="s">
        <v>63</v>
      </c>
      <c r="E14" s="4" t="s">
        <v>258</v>
      </c>
      <c r="F14" s="4" t="s">
        <v>259</v>
      </c>
      <c r="G14" s="4" t="s">
        <v>260</v>
      </c>
      <c r="H14" s="4" t="s">
        <v>261</v>
      </c>
      <c r="I14" s="4" t="s">
        <v>262</v>
      </c>
      <c r="J14" s="4" t="s">
        <v>198</v>
      </c>
      <c r="K14" s="4" t="s">
        <v>199</v>
      </c>
      <c r="L14" s="3">
        <v>0</v>
      </c>
      <c r="M14" s="42">
        <v>0.001</v>
      </c>
    </row>
    <row x14ac:dyDescent="0.25" r="15" customHeight="1" ht="16.5">
      <c r="A15" s="36" t="s">
        <v>263</v>
      </c>
      <c r="B15" s="4" t="s">
        <v>203</v>
      </c>
      <c r="C15" s="4" t="s">
        <v>111</v>
      </c>
      <c r="D15" s="4" t="s">
        <v>63</v>
      </c>
      <c r="E15" s="4" t="s">
        <v>264</v>
      </c>
      <c r="F15" s="4" t="s">
        <v>265</v>
      </c>
      <c r="G15" s="4" t="s">
        <v>266</v>
      </c>
      <c r="H15" s="4" t="s">
        <v>261</v>
      </c>
      <c r="I15" s="4" t="s">
        <v>262</v>
      </c>
      <c r="J15" s="4" t="s">
        <v>198</v>
      </c>
      <c r="K15" s="4" t="s">
        <v>199</v>
      </c>
      <c r="L15" s="3">
        <v>0</v>
      </c>
      <c r="M15" s="43">
        <v>0.001</v>
      </c>
    </row>
    <row x14ac:dyDescent="0.25" r="16" customHeight="1" ht="16.5">
      <c r="A16" s="36" t="s">
        <v>267</v>
      </c>
      <c r="B16" s="4" t="s">
        <v>120</v>
      </c>
      <c r="C16" s="4" t="s">
        <v>100</v>
      </c>
      <c r="D16" s="4" t="s">
        <v>63</v>
      </c>
      <c r="E16" s="4" t="s">
        <v>258</v>
      </c>
      <c r="F16" s="4" t="s">
        <v>259</v>
      </c>
      <c r="G16" s="4" t="s">
        <v>260</v>
      </c>
      <c r="H16" s="4" t="s">
        <v>261</v>
      </c>
      <c r="I16" s="4" t="s">
        <v>262</v>
      </c>
      <c r="J16" s="4" t="s">
        <v>198</v>
      </c>
      <c r="K16" s="4" t="s">
        <v>199</v>
      </c>
      <c r="L16" s="3">
        <v>0</v>
      </c>
      <c r="M16" s="43">
        <v>0.001</v>
      </c>
    </row>
    <row x14ac:dyDescent="0.25" r="17" customHeight="1" ht="16.5">
      <c r="A17" s="36" t="s">
        <v>268</v>
      </c>
      <c r="B17" s="4" t="s">
        <v>120</v>
      </c>
      <c r="C17" s="4" t="s">
        <v>159</v>
      </c>
      <c r="D17" s="4" t="s">
        <v>63</v>
      </c>
      <c r="E17" s="4" t="s">
        <v>269</v>
      </c>
      <c r="F17" s="4" t="s">
        <v>270</v>
      </c>
      <c r="G17" s="4" t="s">
        <v>271</v>
      </c>
      <c r="H17" s="4" t="s">
        <v>261</v>
      </c>
      <c r="I17" s="4" t="s">
        <v>262</v>
      </c>
      <c r="J17" s="4" t="s">
        <v>198</v>
      </c>
      <c r="K17" s="4" t="s">
        <v>199</v>
      </c>
      <c r="L17" s="3">
        <v>0</v>
      </c>
      <c r="M17" s="42">
        <v>0.001</v>
      </c>
    </row>
    <row x14ac:dyDescent="0.25" r="18" customHeight="1" ht="16.5">
      <c r="A18" s="36" t="s">
        <v>272</v>
      </c>
      <c r="B18" s="4" t="s">
        <v>100</v>
      </c>
      <c r="C18" s="4" t="s">
        <v>159</v>
      </c>
      <c r="D18" s="4" t="s">
        <v>63</v>
      </c>
      <c r="E18" s="4" t="s">
        <v>273</v>
      </c>
      <c r="F18" s="4" t="s">
        <v>274</v>
      </c>
      <c r="G18" s="4" t="s">
        <v>275</v>
      </c>
      <c r="H18" s="4" t="s">
        <v>261</v>
      </c>
      <c r="I18" s="4" t="s">
        <v>262</v>
      </c>
      <c r="J18" s="4" t="s">
        <v>198</v>
      </c>
      <c r="K18" s="4" t="s">
        <v>199</v>
      </c>
      <c r="L18" s="3">
        <v>0</v>
      </c>
      <c r="M18" s="43">
        <v>0.001</v>
      </c>
    </row>
    <row x14ac:dyDescent="0.25" r="19" customHeight="1" ht="16.5">
      <c r="A19" s="36" t="s">
        <v>276</v>
      </c>
      <c r="B19" s="4" t="s">
        <v>111</v>
      </c>
      <c r="C19" s="4" t="s">
        <v>65</v>
      </c>
      <c r="D19" s="4" t="s">
        <v>63</v>
      </c>
      <c r="E19" s="4" t="s">
        <v>277</v>
      </c>
      <c r="F19" s="4" t="s">
        <v>278</v>
      </c>
      <c r="G19" s="4" t="s">
        <v>279</v>
      </c>
      <c r="H19" s="4" t="s">
        <v>261</v>
      </c>
      <c r="I19" s="4" t="s">
        <v>262</v>
      </c>
      <c r="J19" s="4" t="s">
        <v>198</v>
      </c>
      <c r="K19" s="4" t="s">
        <v>199</v>
      </c>
      <c r="L19" s="3">
        <v>0</v>
      </c>
      <c r="M19" s="43">
        <v>0.001</v>
      </c>
    </row>
    <row x14ac:dyDescent="0.25" r="20" customHeight="1" ht="16.5">
      <c r="A20" s="36" t="s">
        <v>280</v>
      </c>
      <c r="B20" s="4" t="s">
        <v>117</v>
      </c>
      <c r="C20" s="4" t="s">
        <v>65</v>
      </c>
      <c r="D20" s="4" t="s">
        <v>63</v>
      </c>
      <c r="E20" s="4" t="s">
        <v>281</v>
      </c>
      <c r="F20" s="4" t="s">
        <v>282</v>
      </c>
      <c r="G20" s="4" t="s">
        <v>283</v>
      </c>
      <c r="H20" s="4" t="s">
        <v>261</v>
      </c>
      <c r="I20" s="4" t="s">
        <v>262</v>
      </c>
      <c r="J20" s="4" t="s">
        <v>198</v>
      </c>
      <c r="K20" s="4" t="s">
        <v>199</v>
      </c>
      <c r="L20" s="3">
        <v>0</v>
      </c>
      <c r="M20" s="42">
        <v>0.001</v>
      </c>
    </row>
    <row x14ac:dyDescent="0.25" r="21" customHeight="1" ht="16.5">
      <c r="A21" s="36" t="s">
        <v>284</v>
      </c>
      <c r="B21" s="4" t="s">
        <v>117</v>
      </c>
      <c r="C21" s="4" t="s">
        <v>146</v>
      </c>
      <c r="D21" s="4" t="s">
        <v>63</v>
      </c>
      <c r="E21" s="4" t="s">
        <v>285</v>
      </c>
      <c r="F21" s="4" t="s">
        <v>286</v>
      </c>
      <c r="G21" s="4" t="s">
        <v>287</v>
      </c>
      <c r="H21" s="4" t="s">
        <v>261</v>
      </c>
      <c r="I21" s="4" t="s">
        <v>262</v>
      </c>
      <c r="J21" s="4" t="s">
        <v>198</v>
      </c>
      <c r="K21" s="4" t="s">
        <v>199</v>
      </c>
      <c r="L21" s="3">
        <v>0</v>
      </c>
      <c r="M21" s="43">
        <v>0.001</v>
      </c>
    </row>
    <row x14ac:dyDescent="0.25" r="22" customHeight="1" ht="16.5">
      <c r="A22" s="36" t="s">
        <v>288</v>
      </c>
      <c r="B22" s="4" t="s">
        <v>117</v>
      </c>
      <c r="C22" s="4" t="s">
        <v>146</v>
      </c>
      <c r="D22" s="4" t="s">
        <v>63</v>
      </c>
      <c r="E22" s="4" t="s">
        <v>285</v>
      </c>
      <c r="F22" s="4" t="s">
        <v>286</v>
      </c>
      <c r="G22" s="4" t="s">
        <v>287</v>
      </c>
      <c r="H22" s="4" t="s">
        <v>261</v>
      </c>
      <c r="I22" s="4" t="s">
        <v>262</v>
      </c>
      <c r="J22" s="4" t="s">
        <v>198</v>
      </c>
      <c r="K22" s="4" t="s">
        <v>199</v>
      </c>
      <c r="L22" s="3">
        <v>0</v>
      </c>
      <c r="M22" s="43">
        <v>0.001</v>
      </c>
    </row>
    <row x14ac:dyDescent="0.25" r="23" customHeight="1" ht="16.5">
      <c r="A23" s="36" t="s">
        <v>289</v>
      </c>
      <c r="B23" s="4" t="s">
        <v>117</v>
      </c>
      <c r="C23" s="4" t="s">
        <v>194</v>
      </c>
      <c r="D23" s="4" t="s">
        <v>63</v>
      </c>
      <c r="E23" s="4" t="s">
        <v>290</v>
      </c>
      <c r="F23" s="4" t="s">
        <v>291</v>
      </c>
      <c r="G23" s="4" t="s">
        <v>292</v>
      </c>
      <c r="H23" s="4" t="s">
        <v>261</v>
      </c>
      <c r="I23" s="4" t="s">
        <v>262</v>
      </c>
      <c r="J23" s="4" t="s">
        <v>198</v>
      </c>
      <c r="K23" s="4" t="s">
        <v>199</v>
      </c>
      <c r="L23" s="3">
        <v>0</v>
      </c>
      <c r="M23" s="42">
        <v>0.001</v>
      </c>
    </row>
    <row x14ac:dyDescent="0.25" r="24" customHeight="1" ht="16.5">
      <c r="A24" s="36" t="s">
        <v>293</v>
      </c>
      <c r="B24" s="4" t="s">
        <v>65</v>
      </c>
      <c r="C24" s="4" t="s">
        <v>294</v>
      </c>
      <c r="D24" s="4" t="s">
        <v>63</v>
      </c>
      <c r="E24" s="4" t="s">
        <v>295</v>
      </c>
      <c r="F24" s="4" t="s">
        <v>296</v>
      </c>
      <c r="G24" s="4" t="s">
        <v>297</v>
      </c>
      <c r="H24" s="4" t="s">
        <v>261</v>
      </c>
      <c r="I24" s="4" t="s">
        <v>262</v>
      </c>
      <c r="J24" s="4" t="s">
        <v>198</v>
      </c>
      <c r="K24" s="4" t="s">
        <v>199</v>
      </c>
      <c r="L24" s="3">
        <v>0</v>
      </c>
      <c r="M24" s="43">
        <v>0.001</v>
      </c>
    </row>
    <row x14ac:dyDescent="0.25" r="25" customHeight="1" ht="16.5">
      <c r="A25" s="36" t="s">
        <v>298</v>
      </c>
      <c r="B25" s="4" t="s">
        <v>65</v>
      </c>
      <c r="C25" s="4" t="s">
        <v>299</v>
      </c>
      <c r="D25" s="4" t="s">
        <v>63</v>
      </c>
      <c r="E25" s="4" t="s">
        <v>300</v>
      </c>
      <c r="F25" s="4" t="s">
        <v>301</v>
      </c>
      <c r="G25" s="4" t="s">
        <v>302</v>
      </c>
      <c r="H25" s="4" t="s">
        <v>261</v>
      </c>
      <c r="I25" s="4" t="s">
        <v>262</v>
      </c>
      <c r="J25" s="4" t="s">
        <v>198</v>
      </c>
      <c r="K25" s="4" t="s">
        <v>199</v>
      </c>
      <c r="L25" s="3">
        <v>0</v>
      </c>
      <c r="M25" s="43">
        <v>0.001</v>
      </c>
    </row>
    <row x14ac:dyDescent="0.25" r="26" customHeight="1" ht="16.5">
      <c r="A26" s="36" t="s">
        <v>303</v>
      </c>
      <c r="B26" s="4" t="s">
        <v>294</v>
      </c>
      <c r="C26" s="4" t="s">
        <v>138</v>
      </c>
      <c r="D26" s="4" t="s">
        <v>63</v>
      </c>
      <c r="E26" s="4" t="s">
        <v>304</v>
      </c>
      <c r="F26" s="4" t="s">
        <v>305</v>
      </c>
      <c r="G26" s="4" t="s">
        <v>306</v>
      </c>
      <c r="H26" s="4" t="s">
        <v>261</v>
      </c>
      <c r="I26" s="4" t="s">
        <v>262</v>
      </c>
      <c r="J26" s="4" t="s">
        <v>198</v>
      </c>
      <c r="K26" s="4" t="s">
        <v>199</v>
      </c>
      <c r="L26" s="3">
        <v>0</v>
      </c>
      <c r="M26" s="42">
        <v>0.001</v>
      </c>
    </row>
    <row x14ac:dyDescent="0.25" r="27" customHeight="1" ht="16.5">
      <c r="A27" s="36" t="s">
        <v>307</v>
      </c>
      <c r="B27" s="4" t="s">
        <v>294</v>
      </c>
      <c r="C27" s="4" t="s">
        <v>148</v>
      </c>
      <c r="D27" s="4" t="s">
        <v>63</v>
      </c>
      <c r="E27" s="4" t="s">
        <v>308</v>
      </c>
      <c r="F27" s="4" t="s">
        <v>309</v>
      </c>
      <c r="G27" s="4" t="s">
        <v>310</v>
      </c>
      <c r="H27" s="4" t="s">
        <v>261</v>
      </c>
      <c r="I27" s="4" t="s">
        <v>262</v>
      </c>
      <c r="J27" s="4" t="s">
        <v>198</v>
      </c>
      <c r="K27" s="4" t="s">
        <v>199</v>
      </c>
      <c r="L27" s="3">
        <v>0</v>
      </c>
      <c r="M27" s="43">
        <v>0.001</v>
      </c>
    </row>
    <row x14ac:dyDescent="0.25" r="28" customHeight="1" ht="16.5">
      <c r="A28" s="36" t="s">
        <v>311</v>
      </c>
      <c r="B28" s="4" t="s">
        <v>138</v>
      </c>
      <c r="C28" s="4" t="s">
        <v>146</v>
      </c>
      <c r="D28" s="4" t="s">
        <v>63</v>
      </c>
      <c r="E28" s="4" t="s">
        <v>295</v>
      </c>
      <c r="F28" s="4" t="s">
        <v>296</v>
      </c>
      <c r="G28" s="4" t="s">
        <v>297</v>
      </c>
      <c r="H28" s="4" t="s">
        <v>261</v>
      </c>
      <c r="I28" s="4" t="s">
        <v>262</v>
      </c>
      <c r="J28" s="4" t="s">
        <v>198</v>
      </c>
      <c r="K28" s="4" t="s">
        <v>199</v>
      </c>
      <c r="L28" s="3">
        <v>0</v>
      </c>
      <c r="M28" s="43">
        <v>0.001</v>
      </c>
    </row>
    <row x14ac:dyDescent="0.25" r="29" customHeight="1" ht="16.5">
      <c r="A29" s="36" t="s">
        <v>312</v>
      </c>
      <c r="B29" s="4" t="s">
        <v>138</v>
      </c>
      <c r="C29" s="4" t="s">
        <v>146</v>
      </c>
      <c r="D29" s="4" t="s">
        <v>63</v>
      </c>
      <c r="E29" s="4" t="s">
        <v>295</v>
      </c>
      <c r="F29" s="4" t="s">
        <v>296</v>
      </c>
      <c r="G29" s="4" t="s">
        <v>297</v>
      </c>
      <c r="H29" s="4" t="s">
        <v>261</v>
      </c>
      <c r="I29" s="4" t="s">
        <v>262</v>
      </c>
      <c r="J29" s="4" t="s">
        <v>198</v>
      </c>
      <c r="K29" s="4" t="s">
        <v>199</v>
      </c>
      <c r="L29" s="3">
        <v>0</v>
      </c>
      <c r="M29" s="42">
        <v>0.001</v>
      </c>
    </row>
    <row x14ac:dyDescent="0.25" r="30" customHeight="1" ht="16.5">
      <c r="A30" s="36" t="s">
        <v>313</v>
      </c>
      <c r="B30" s="4" t="s">
        <v>299</v>
      </c>
      <c r="C30" s="4" t="s">
        <v>66</v>
      </c>
      <c r="D30" s="4" t="s">
        <v>63</v>
      </c>
      <c r="E30" s="4" t="s">
        <v>314</v>
      </c>
      <c r="F30" s="4" t="s">
        <v>315</v>
      </c>
      <c r="G30" s="4" t="s">
        <v>316</v>
      </c>
      <c r="H30" s="4" t="s">
        <v>261</v>
      </c>
      <c r="I30" s="4" t="s">
        <v>262</v>
      </c>
      <c r="J30" s="4" t="s">
        <v>198</v>
      </c>
      <c r="K30" s="4" t="s">
        <v>199</v>
      </c>
      <c r="L30" s="3">
        <v>0</v>
      </c>
      <c r="M30" s="43">
        <v>0.001</v>
      </c>
    </row>
    <row x14ac:dyDescent="0.25" r="31" customHeight="1" ht="16.5">
      <c r="A31" s="36" t="s">
        <v>317</v>
      </c>
      <c r="B31" s="4" t="s">
        <v>299</v>
      </c>
      <c r="C31" s="4" t="s">
        <v>66</v>
      </c>
      <c r="D31" s="4" t="s">
        <v>63</v>
      </c>
      <c r="E31" s="4" t="s">
        <v>314</v>
      </c>
      <c r="F31" s="4" t="s">
        <v>315</v>
      </c>
      <c r="G31" s="4" t="s">
        <v>316</v>
      </c>
      <c r="H31" s="4" t="s">
        <v>261</v>
      </c>
      <c r="I31" s="4" t="s">
        <v>262</v>
      </c>
      <c r="J31" s="4" t="s">
        <v>198</v>
      </c>
      <c r="K31" s="4" t="s">
        <v>199</v>
      </c>
      <c r="L31" s="3">
        <v>0</v>
      </c>
      <c r="M31" s="43">
        <v>0.001</v>
      </c>
    </row>
    <row x14ac:dyDescent="0.25" r="32" customHeight="1" ht="16.5">
      <c r="A32" s="36" t="s">
        <v>318</v>
      </c>
      <c r="B32" s="4" t="s">
        <v>66</v>
      </c>
      <c r="C32" s="4" t="s">
        <v>159</v>
      </c>
      <c r="D32" s="4" t="s">
        <v>63</v>
      </c>
      <c r="E32" s="4" t="s">
        <v>319</v>
      </c>
      <c r="F32" s="4" t="s">
        <v>320</v>
      </c>
      <c r="G32" s="4" t="s">
        <v>321</v>
      </c>
      <c r="H32" s="4" t="s">
        <v>261</v>
      </c>
      <c r="I32" s="4" t="s">
        <v>262</v>
      </c>
      <c r="J32" s="4" t="s">
        <v>198</v>
      </c>
      <c r="K32" s="4" t="s">
        <v>199</v>
      </c>
      <c r="L32" s="3">
        <v>0</v>
      </c>
      <c r="M32" s="42">
        <v>0.001</v>
      </c>
    </row>
    <row x14ac:dyDescent="0.25" r="33" customHeight="1" ht="16.5">
      <c r="A33" s="36" t="s">
        <v>322</v>
      </c>
      <c r="B33" s="4" t="s">
        <v>66</v>
      </c>
      <c r="C33" s="4" t="s">
        <v>159</v>
      </c>
      <c r="D33" s="4" t="s">
        <v>63</v>
      </c>
      <c r="E33" s="4" t="s">
        <v>319</v>
      </c>
      <c r="F33" s="4" t="s">
        <v>320</v>
      </c>
      <c r="G33" s="4" t="s">
        <v>321</v>
      </c>
      <c r="H33" s="4" t="s">
        <v>261</v>
      </c>
      <c r="I33" s="4" t="s">
        <v>262</v>
      </c>
      <c r="J33" s="4" t="s">
        <v>198</v>
      </c>
      <c r="K33" s="4" t="s">
        <v>199</v>
      </c>
      <c r="L33" s="3">
        <v>0</v>
      </c>
      <c r="M33" s="43">
        <v>0.001</v>
      </c>
    </row>
    <row x14ac:dyDescent="0.25" r="34" customHeight="1" ht="16.5">
      <c r="A34" s="37" t="s">
        <v>323</v>
      </c>
      <c r="B34" s="38" t="s">
        <v>146</v>
      </c>
      <c r="C34" s="38" t="s">
        <v>148</v>
      </c>
      <c r="D34" s="38" t="s">
        <v>63</v>
      </c>
      <c r="E34" s="38" t="s">
        <v>324</v>
      </c>
      <c r="F34" s="38" t="s">
        <v>325</v>
      </c>
      <c r="G34" s="38" t="s">
        <v>326</v>
      </c>
      <c r="H34" s="38" t="s">
        <v>261</v>
      </c>
      <c r="I34" s="38" t="s">
        <v>262</v>
      </c>
      <c r="J34" s="38" t="s">
        <v>198</v>
      </c>
      <c r="K34" s="38" t="s">
        <v>199</v>
      </c>
      <c r="L34" s="39">
        <v>0</v>
      </c>
      <c r="M34" s="43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6" width="11.862142857142858" customWidth="1" bestFit="1"/>
    <col min="5" max="5" style="7" width="11.862142857142858" customWidth="1" bestFit="1"/>
    <col min="6" max="6" style="7" width="11.862142857142858" customWidth="1" bestFit="1"/>
    <col min="7" max="7" style="7" width="11.862142857142858" customWidth="1" bestFit="1"/>
    <col min="8" max="8" style="6" width="11.862142857142858" customWidth="1" bestFit="1"/>
    <col min="9" max="9" style="7" width="11.862142857142858" customWidth="1" bestFit="1"/>
    <col min="10" max="10" style="7" width="11.862142857142858" customWidth="1" bestFit="1"/>
    <col min="11" max="11" style="7" width="11.862142857142858" customWidth="1" bestFit="1"/>
    <col min="12" max="12" style="7" width="11.862142857142858" customWidth="1" bestFit="1"/>
    <col min="13" max="13" style="7" width="11.862142857142858" customWidth="1" bestFit="1"/>
    <col min="14" max="14" style="7" width="11.862142857142858" customWidth="1" bestFit="1"/>
    <col min="15" max="15" style="6" width="11.862142857142858" customWidth="1" bestFit="1"/>
    <col min="16" max="16" style="10" width="11.862142857142858" customWidth="1" bestFit="1"/>
    <col min="17" max="17" style="6" width="11.862142857142858" customWidth="1" bestFit="1"/>
    <col min="18" max="18" style="10" width="11.862142857142858" customWidth="1" bestFit="1"/>
  </cols>
  <sheetData>
    <row x14ac:dyDescent="0.25" r="1" customHeight="1" ht="16.5">
      <c r="A1" s="2" t="s">
        <v>2</v>
      </c>
      <c r="B1" s="2" t="s">
        <v>178</v>
      </c>
      <c r="C1" s="2" t="s">
        <v>179</v>
      </c>
      <c r="D1" s="1" t="s">
        <v>41</v>
      </c>
      <c r="E1" s="2" t="s">
        <v>40</v>
      </c>
      <c r="F1" s="2" t="s">
        <v>180</v>
      </c>
      <c r="G1" s="2" t="s">
        <v>181</v>
      </c>
      <c r="H1" s="1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1" t="s">
        <v>189</v>
      </c>
      <c r="P1" s="8" t="s">
        <v>190</v>
      </c>
      <c r="Q1" s="1" t="s">
        <v>54</v>
      </c>
      <c r="R1" s="29" t="s">
        <v>191</v>
      </c>
    </row>
    <row x14ac:dyDescent="0.25" r="2" customHeight="1" ht="16.5">
      <c r="A2" s="30" t="s">
        <v>192</v>
      </c>
      <c r="B2" s="31" t="s">
        <v>193</v>
      </c>
      <c r="C2" s="31" t="s">
        <v>194</v>
      </c>
      <c r="D2" s="32">
        <v>2</v>
      </c>
      <c r="E2" s="31" t="s">
        <v>63</v>
      </c>
      <c r="F2" s="31" t="s">
        <v>195</v>
      </c>
      <c r="G2" s="31" t="s">
        <v>196</v>
      </c>
      <c r="H2" s="32">
        <v>0</v>
      </c>
      <c r="I2" s="31" t="s">
        <v>197</v>
      </c>
      <c r="J2" s="31" t="s">
        <v>140</v>
      </c>
      <c r="K2" s="31" t="s">
        <v>198</v>
      </c>
      <c r="L2" s="31" t="s">
        <v>199</v>
      </c>
      <c r="M2" s="31" t="s">
        <v>67</v>
      </c>
      <c r="N2" s="31" t="s">
        <v>200</v>
      </c>
      <c r="O2" s="33">
        <v>0.9785</v>
      </c>
      <c r="P2" s="34">
        <v>1.1</v>
      </c>
      <c r="Q2" s="32">
        <v>0</v>
      </c>
      <c r="R2" s="35">
        <v>0.001</v>
      </c>
    </row>
    <row x14ac:dyDescent="0.25" r="3" customHeight="1" ht="16.5">
      <c r="A3" s="36" t="s">
        <v>201</v>
      </c>
      <c r="B3" s="4" t="s">
        <v>202</v>
      </c>
      <c r="C3" s="4" t="s">
        <v>203</v>
      </c>
      <c r="D3" s="3">
        <v>1</v>
      </c>
      <c r="E3" s="4" t="s">
        <v>63</v>
      </c>
      <c r="F3" s="4" t="s">
        <v>195</v>
      </c>
      <c r="G3" s="4" t="s">
        <v>196</v>
      </c>
      <c r="H3" s="3">
        <v>0</v>
      </c>
      <c r="I3" s="4" t="s">
        <v>197</v>
      </c>
      <c r="J3" s="4" t="s">
        <v>140</v>
      </c>
      <c r="K3" s="4" t="s">
        <v>198</v>
      </c>
      <c r="L3" s="4" t="s">
        <v>199</v>
      </c>
      <c r="M3" s="4" t="s">
        <v>67</v>
      </c>
      <c r="N3" s="4" t="s">
        <v>200</v>
      </c>
      <c r="O3" s="3">
        <v>0.9785</v>
      </c>
      <c r="P3" s="9">
        <v>1.1</v>
      </c>
      <c r="Q3" s="3">
        <v>0</v>
      </c>
      <c r="R3" s="35">
        <v>0.001</v>
      </c>
    </row>
    <row x14ac:dyDescent="0.25" r="4" customHeight="1" ht="16.5">
      <c r="A4" s="36" t="s">
        <v>204</v>
      </c>
      <c r="B4" s="4" t="s">
        <v>202</v>
      </c>
      <c r="C4" s="4" t="s">
        <v>120</v>
      </c>
      <c r="D4" s="3">
        <v>2</v>
      </c>
      <c r="E4" s="4" t="s">
        <v>63</v>
      </c>
      <c r="F4" s="4" t="s">
        <v>195</v>
      </c>
      <c r="G4" s="4" t="s">
        <v>196</v>
      </c>
      <c r="H4" s="3">
        <v>0</v>
      </c>
      <c r="I4" s="4" t="s">
        <v>197</v>
      </c>
      <c r="J4" s="4" t="s">
        <v>140</v>
      </c>
      <c r="K4" s="4" t="s">
        <v>198</v>
      </c>
      <c r="L4" s="4" t="s">
        <v>199</v>
      </c>
      <c r="M4" s="4" t="s">
        <v>67</v>
      </c>
      <c r="N4" s="4" t="s">
        <v>200</v>
      </c>
      <c r="O4" s="3">
        <v>0.9785</v>
      </c>
      <c r="P4" s="9">
        <v>1.1</v>
      </c>
      <c r="Q4" s="3">
        <v>0</v>
      </c>
      <c r="R4" s="35">
        <v>0.001</v>
      </c>
    </row>
    <row x14ac:dyDescent="0.25" r="5" customHeight="1" ht="16.5">
      <c r="A5" s="36" t="s">
        <v>205</v>
      </c>
      <c r="B5" s="4" t="s">
        <v>68</v>
      </c>
      <c r="C5" s="4" t="s">
        <v>203</v>
      </c>
      <c r="D5" s="3">
        <v>1</v>
      </c>
      <c r="E5" s="4" t="s">
        <v>63</v>
      </c>
      <c r="F5" s="4" t="s">
        <v>195</v>
      </c>
      <c r="G5" s="4" t="s">
        <v>196</v>
      </c>
      <c r="H5" s="3">
        <v>0</v>
      </c>
      <c r="I5" s="4" t="s">
        <v>197</v>
      </c>
      <c r="J5" s="4" t="s">
        <v>140</v>
      </c>
      <c r="K5" s="4" t="s">
        <v>198</v>
      </c>
      <c r="L5" s="4" t="s">
        <v>199</v>
      </c>
      <c r="M5" s="4" t="s">
        <v>67</v>
      </c>
      <c r="N5" s="4" t="s">
        <v>105</v>
      </c>
      <c r="O5" s="3">
        <v>0.969</v>
      </c>
      <c r="P5" s="9">
        <v>1.1</v>
      </c>
      <c r="Q5" s="3">
        <v>0</v>
      </c>
      <c r="R5" s="35">
        <v>0.001</v>
      </c>
    </row>
    <row x14ac:dyDescent="0.25" r="6" customHeight="1" ht="16.5">
      <c r="A6" s="37" t="s">
        <v>206</v>
      </c>
      <c r="B6" s="38" t="s">
        <v>68</v>
      </c>
      <c r="C6" s="38" t="s">
        <v>120</v>
      </c>
      <c r="D6" s="39">
        <v>2</v>
      </c>
      <c r="E6" s="38" t="s">
        <v>63</v>
      </c>
      <c r="F6" s="38" t="s">
        <v>195</v>
      </c>
      <c r="G6" s="38" t="s">
        <v>196</v>
      </c>
      <c r="H6" s="39">
        <v>0</v>
      </c>
      <c r="I6" s="38" t="s">
        <v>197</v>
      </c>
      <c r="J6" s="38" t="s">
        <v>140</v>
      </c>
      <c r="K6" s="38" t="s">
        <v>198</v>
      </c>
      <c r="L6" s="38" t="s">
        <v>199</v>
      </c>
      <c r="M6" s="38" t="s">
        <v>67</v>
      </c>
      <c r="N6" s="38" t="s">
        <v>105</v>
      </c>
      <c r="O6" s="39">
        <v>1</v>
      </c>
      <c r="P6" s="40">
        <v>1.02</v>
      </c>
      <c r="Q6" s="39">
        <v>0</v>
      </c>
      <c r="R6" s="41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"/>
  <sheetViews>
    <sheetView workbookViewId="0"/>
  </sheetViews>
  <sheetFormatPr defaultRowHeight="15" x14ac:dyDescent="0.25"/>
  <cols>
    <col min="1" max="1" style="11" width="11.862142857142858" customWidth="1" bestFit="1"/>
    <col min="2" max="2" style="11" width="11.862142857142858" customWidth="1" bestFit="1"/>
    <col min="3" max="3" style="11" width="11.862142857142858" customWidth="1" bestFit="1"/>
    <col min="4" max="4" style="11" width="11.862142857142858" customWidth="1" bestFit="1"/>
    <col min="5" max="5" style="11" width="11.862142857142858" customWidth="1" bestFit="1"/>
    <col min="6" max="6" style="11" width="11.862142857142858" customWidth="1" bestFit="1"/>
    <col min="7" max="7" style="11" width="11.862142857142858" customWidth="1" bestFit="1"/>
    <col min="8" max="8" style="11" width="11.862142857142858" customWidth="1" bestFit="1"/>
    <col min="9" max="9" style="11" width="11.862142857142858" customWidth="1" bestFit="1"/>
    <col min="10" max="10" style="11" width="11.862142857142858" customWidth="1" bestFit="1"/>
    <col min="11" max="11" style="11" width="11.862142857142858" customWidth="1" bestFit="1"/>
    <col min="12" max="12" style="11" width="11.862142857142858" customWidth="1" bestFit="1"/>
    <col min="13" max="13" style="11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40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54</v>
      </c>
      <c r="L1" s="2" t="s">
        <v>177</v>
      </c>
      <c r="M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6" width="11.862142857142858" customWidth="1" bestFit="1"/>
    <col min="5" max="5" style="7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174</v>
      </c>
      <c r="D1" s="1" t="s">
        <v>175</v>
      </c>
      <c r="E1" s="2" t="s">
        <v>40</v>
      </c>
    </row>
    <row x14ac:dyDescent="0.25" r="2" customHeight="1" ht="16.5">
      <c r="A2" s="4" t="s">
        <v>121</v>
      </c>
      <c r="B2" s="4" t="s">
        <v>176</v>
      </c>
      <c r="C2" s="4" t="s">
        <v>67</v>
      </c>
      <c r="D2" s="3">
        <v>-100</v>
      </c>
      <c r="E2" s="4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11" width="11.862142857142858" customWidth="1" bestFit="1"/>
    <col min="2" max="2" style="11" width="11.862142857142858" customWidth="1" bestFit="1"/>
    <col min="3" max="3" style="11" width="11.862142857142858" customWidth="1" bestFit="1"/>
    <col min="4" max="4" style="11" width="11.862142857142858" customWidth="1" bestFit="1"/>
    <col min="5" max="5" style="11" width="11.862142857142858" customWidth="1" bestFit="1"/>
  </cols>
  <sheetData>
    <row x14ac:dyDescent="0.25" r="1" customHeight="1" ht="16.5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4"/>
  <sheetViews>
    <sheetView workbookViewId="0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6" width="11.862142857142858" customWidth="1" bestFit="1"/>
    <col min="5" max="5" style="6" width="11.862142857142858" customWidth="1" bestFit="1"/>
    <col min="6" max="6" style="28" width="11.862142857142858" customWidth="1" bestFit="1"/>
    <col min="7" max="7" style="7" width="11.862142857142858" customWidth="1" bestFit="1"/>
    <col min="8" max="8" style="7" width="11.862142857142858" customWidth="1" bestFit="1"/>
    <col min="9" max="9" style="7" width="11.862142857142858" customWidth="1" bestFit="1"/>
    <col min="10" max="10" style="7" width="11.862142857142858" customWidth="1" bestFit="1"/>
    <col min="11" max="11" style="7" width="11.862142857142858" customWidth="1" bestFit="1"/>
    <col min="12" max="12" style="6" width="11.862142857142858" customWidth="1" bestFit="1"/>
    <col min="13" max="13" style="6" width="11.862142857142858" customWidth="1" bestFit="1"/>
    <col min="14" max="14" style="6" width="11.862142857142858" customWidth="1" bestFit="1"/>
    <col min="15" max="15" style="6" width="11.862142857142858" customWidth="1" bestFit="1"/>
    <col min="16" max="16" style="7" width="11.862142857142858" customWidth="1" bestFit="1"/>
    <col min="17" max="17" style="7" width="11.862142857142858" customWidth="1" bestFit="1"/>
    <col min="18" max="18" style="10" width="11.862142857142858" customWidth="1" bestFit="1"/>
    <col min="19" max="19" style="6" width="11.862142857142858" customWidth="1" bestFit="1"/>
    <col min="20" max="20" style="6" width="11.862142857142858" customWidth="1" bestFit="1"/>
    <col min="21" max="21" style="7" width="11.862142857142858" customWidth="1" bestFit="1"/>
    <col min="22" max="22" style="7" width="11.862142857142858" customWidth="1" bestFit="1"/>
    <col min="23" max="23" style="7" width="11.862142857142858" customWidth="1" bestFit="1"/>
    <col min="24" max="24" style="6" width="11.862142857142858" customWidth="1" bestFit="1"/>
    <col min="25" max="25" style="6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40</v>
      </c>
      <c r="D1" s="1" t="s">
        <v>41</v>
      </c>
      <c r="E1" s="1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2" t="s">
        <v>53</v>
      </c>
      <c r="Q1" s="2" t="s">
        <v>54</v>
      </c>
      <c r="R1" s="27" t="s">
        <v>55</v>
      </c>
      <c r="S1" s="1" t="s">
        <v>56</v>
      </c>
      <c r="T1" s="1" t="s">
        <v>57</v>
      </c>
      <c r="U1" s="2" t="s">
        <v>58</v>
      </c>
      <c r="V1" s="2" t="s">
        <v>59</v>
      </c>
      <c r="W1" s="2" t="s">
        <v>60</v>
      </c>
      <c r="X1" s="3" t="s">
        <v>61</v>
      </c>
      <c r="Y1" s="3" t="s">
        <v>62</v>
      </c>
    </row>
    <row x14ac:dyDescent="0.25" r="2" customHeight="1" ht="16.5">
      <c r="A2" s="4" t="s">
        <v>63</v>
      </c>
      <c r="B2" s="4" t="s">
        <v>64</v>
      </c>
      <c r="C2" s="4" t="s">
        <v>63</v>
      </c>
      <c r="D2" s="3">
        <v>2</v>
      </c>
      <c r="E2" s="3">
        <v>0</v>
      </c>
      <c r="F2" s="3">
        <f>0.5*(I2+J2)</f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3">
        <v>100</v>
      </c>
      <c r="M2" s="3">
        <v>100</v>
      </c>
      <c r="N2" s="3">
        <v>2</v>
      </c>
      <c r="O2" s="3">
        <v>2</v>
      </c>
      <c r="P2" s="4" t="s">
        <v>70</v>
      </c>
      <c r="Q2" s="4" t="s">
        <v>67</v>
      </c>
      <c r="R2" s="9">
        <v>0.001</v>
      </c>
      <c r="S2" s="3">
        <v>100</v>
      </c>
      <c r="T2" s="3">
        <v>100</v>
      </c>
      <c r="U2" s="4" t="s">
        <v>67</v>
      </c>
      <c r="V2" s="4" t="s">
        <v>71</v>
      </c>
      <c r="W2" s="4" t="s">
        <v>72</v>
      </c>
      <c r="X2" s="3">
        <v>40</v>
      </c>
      <c r="Y2" s="3">
        <v>80</v>
      </c>
    </row>
    <row x14ac:dyDescent="0.25" r="3" customHeight="1" ht="16.5">
      <c r="A3" s="4" t="s">
        <v>63</v>
      </c>
      <c r="B3" s="4" t="s">
        <v>73</v>
      </c>
      <c r="C3" s="4" t="s">
        <v>63</v>
      </c>
      <c r="D3" s="3">
        <v>2</v>
      </c>
      <c r="E3" s="3">
        <v>16</v>
      </c>
      <c r="F3" s="3">
        <f>0.5*(I3+J3)</f>
      </c>
      <c r="G3" s="4" t="s">
        <v>65</v>
      </c>
      <c r="H3" s="4" t="s">
        <v>66</v>
      </c>
      <c r="I3" s="4" t="s">
        <v>67</v>
      </c>
      <c r="J3" s="4" t="s">
        <v>68</v>
      </c>
      <c r="K3" s="4" t="s">
        <v>69</v>
      </c>
      <c r="L3" s="3">
        <v>100</v>
      </c>
      <c r="M3" s="3">
        <v>100</v>
      </c>
      <c r="N3" s="3">
        <v>2</v>
      </c>
      <c r="O3" s="3">
        <v>2</v>
      </c>
      <c r="P3" s="4" t="s">
        <v>70</v>
      </c>
      <c r="Q3" s="4" t="s">
        <v>67</v>
      </c>
      <c r="R3" s="9">
        <v>0.001</v>
      </c>
      <c r="S3" s="3">
        <v>100</v>
      </c>
      <c r="T3" s="3">
        <v>100</v>
      </c>
      <c r="U3" s="4" t="s">
        <v>67</v>
      </c>
      <c r="V3" s="4" t="s">
        <v>71</v>
      </c>
      <c r="W3" s="4" t="s">
        <v>72</v>
      </c>
      <c r="X3" s="3">
        <v>40</v>
      </c>
      <c r="Y3" s="3">
        <v>80</v>
      </c>
    </row>
    <row x14ac:dyDescent="0.25" r="4" customHeight="1" ht="16.5">
      <c r="A4" s="4" t="s">
        <v>63</v>
      </c>
      <c r="B4" s="4" t="s">
        <v>74</v>
      </c>
      <c r="C4" s="4" t="s">
        <v>63</v>
      </c>
      <c r="D4" s="3">
        <v>2</v>
      </c>
      <c r="E4" s="3">
        <v>76</v>
      </c>
      <c r="F4" s="9">
        <f>0.5*(I4+J4)</f>
      </c>
      <c r="G4" s="4" t="s">
        <v>75</v>
      </c>
      <c r="H4" s="4" t="s">
        <v>76</v>
      </c>
      <c r="I4" s="4" t="s">
        <v>77</v>
      </c>
      <c r="J4" s="4" t="s">
        <v>78</v>
      </c>
      <c r="K4" s="4" t="s">
        <v>69</v>
      </c>
      <c r="L4" s="3">
        <v>100</v>
      </c>
      <c r="M4" s="3">
        <v>100</v>
      </c>
      <c r="N4" s="3">
        <v>2</v>
      </c>
      <c r="O4" s="3">
        <v>2</v>
      </c>
      <c r="P4" s="4" t="s">
        <v>70</v>
      </c>
      <c r="Q4" s="4" t="s">
        <v>67</v>
      </c>
      <c r="R4" s="9">
        <v>0.001</v>
      </c>
      <c r="S4" s="3">
        <v>100</v>
      </c>
      <c r="T4" s="3">
        <v>100</v>
      </c>
      <c r="U4" s="4" t="s">
        <v>79</v>
      </c>
      <c r="V4" s="4" t="s">
        <v>80</v>
      </c>
      <c r="W4" s="4" t="s">
        <v>81</v>
      </c>
      <c r="X4" s="3">
        <v>40</v>
      </c>
      <c r="Y4" s="3">
        <v>80</v>
      </c>
    </row>
    <row x14ac:dyDescent="0.25" r="5" customHeight="1" ht="16.5">
      <c r="A5" s="4" t="s">
        <v>63</v>
      </c>
      <c r="B5" s="4" t="s">
        <v>82</v>
      </c>
      <c r="C5" s="4" t="s">
        <v>63</v>
      </c>
      <c r="D5" s="3">
        <v>2</v>
      </c>
      <c r="E5" s="3">
        <v>76</v>
      </c>
      <c r="F5" s="9">
        <f>0.5*(I5+J5)</f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69</v>
      </c>
      <c r="L5" s="3">
        <v>100</v>
      </c>
      <c r="M5" s="3">
        <v>100</v>
      </c>
      <c r="N5" s="3">
        <v>2</v>
      </c>
      <c r="O5" s="3">
        <v>2</v>
      </c>
      <c r="P5" s="4" t="s">
        <v>70</v>
      </c>
      <c r="Q5" s="4" t="s">
        <v>67</v>
      </c>
      <c r="R5" s="9">
        <v>0.001</v>
      </c>
      <c r="S5" s="3">
        <v>100</v>
      </c>
      <c r="T5" s="3">
        <v>100</v>
      </c>
      <c r="U5" s="4" t="s">
        <v>79</v>
      </c>
      <c r="V5" s="4" t="s">
        <v>80</v>
      </c>
      <c r="W5" s="4" t="s">
        <v>81</v>
      </c>
      <c r="X5" s="3">
        <v>40</v>
      </c>
      <c r="Y5" s="3">
        <v>80</v>
      </c>
    </row>
    <row x14ac:dyDescent="0.25" r="6" customHeight="1" ht="16.5">
      <c r="A6" s="4" t="s">
        <v>83</v>
      </c>
      <c r="B6" s="4" t="s">
        <v>84</v>
      </c>
      <c r="C6" s="4" t="s">
        <v>63</v>
      </c>
      <c r="D6" s="3">
        <v>2</v>
      </c>
      <c r="E6" s="3">
        <v>16</v>
      </c>
      <c r="F6" s="3">
        <f>0.5*(I6+J6)</f>
      </c>
      <c r="G6" s="4" t="s">
        <v>65</v>
      </c>
      <c r="H6" s="4" t="s">
        <v>66</v>
      </c>
      <c r="I6" s="4" t="s">
        <v>67</v>
      </c>
      <c r="J6" s="4" t="s">
        <v>68</v>
      </c>
      <c r="K6" s="4" t="s">
        <v>69</v>
      </c>
      <c r="L6" s="3">
        <v>100</v>
      </c>
      <c r="M6" s="3">
        <v>100</v>
      </c>
      <c r="N6" s="3">
        <v>2</v>
      </c>
      <c r="O6" s="3">
        <v>2</v>
      </c>
      <c r="P6" s="4" t="s">
        <v>70</v>
      </c>
      <c r="Q6" s="4" t="s">
        <v>67</v>
      </c>
      <c r="R6" s="9">
        <v>0.001</v>
      </c>
      <c r="S6" s="3">
        <v>100</v>
      </c>
      <c r="T6" s="3">
        <v>100</v>
      </c>
      <c r="U6" s="4" t="s">
        <v>67</v>
      </c>
      <c r="V6" s="4" t="s">
        <v>71</v>
      </c>
      <c r="W6" s="4" t="s">
        <v>72</v>
      </c>
      <c r="X6" s="3">
        <v>40</v>
      </c>
      <c r="Y6" s="3">
        <v>80</v>
      </c>
    </row>
    <row x14ac:dyDescent="0.25" r="7" customHeight="1" ht="16.5">
      <c r="A7" s="4" t="s">
        <v>83</v>
      </c>
      <c r="B7" s="4" t="s">
        <v>85</v>
      </c>
      <c r="C7" s="4" t="s">
        <v>63</v>
      </c>
      <c r="D7" s="3">
        <v>2</v>
      </c>
      <c r="E7" s="3">
        <v>16</v>
      </c>
      <c r="F7" s="3">
        <f>0.5*(I7+J7)</f>
      </c>
      <c r="G7" s="4" t="s">
        <v>65</v>
      </c>
      <c r="H7" s="4" t="s">
        <v>66</v>
      </c>
      <c r="I7" s="4" t="s">
        <v>67</v>
      </c>
      <c r="J7" s="4" t="s">
        <v>68</v>
      </c>
      <c r="K7" s="4" t="s">
        <v>69</v>
      </c>
      <c r="L7" s="3">
        <v>100</v>
      </c>
      <c r="M7" s="3">
        <v>100</v>
      </c>
      <c r="N7" s="3">
        <v>2</v>
      </c>
      <c r="O7" s="3">
        <v>2</v>
      </c>
      <c r="P7" s="4" t="s">
        <v>70</v>
      </c>
      <c r="Q7" s="4" t="s">
        <v>67</v>
      </c>
      <c r="R7" s="9">
        <v>0.001</v>
      </c>
      <c r="S7" s="3">
        <v>100</v>
      </c>
      <c r="T7" s="3">
        <v>100</v>
      </c>
      <c r="U7" s="4" t="s">
        <v>67</v>
      </c>
      <c r="V7" s="4" t="s">
        <v>71</v>
      </c>
      <c r="W7" s="4" t="s">
        <v>72</v>
      </c>
      <c r="X7" s="3">
        <v>40</v>
      </c>
      <c r="Y7" s="3">
        <v>80</v>
      </c>
    </row>
    <row x14ac:dyDescent="0.25" r="8" customHeight="1" ht="16.5">
      <c r="A8" s="4" t="s">
        <v>83</v>
      </c>
      <c r="B8" s="4" t="s">
        <v>86</v>
      </c>
      <c r="C8" s="4" t="s">
        <v>63</v>
      </c>
      <c r="D8" s="3">
        <v>2</v>
      </c>
      <c r="E8" s="3">
        <v>76</v>
      </c>
      <c r="F8" s="9">
        <f>0.5*(I8+J8)</f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69</v>
      </c>
      <c r="L8" s="3">
        <v>100</v>
      </c>
      <c r="M8" s="3">
        <v>100</v>
      </c>
      <c r="N8" s="3">
        <v>2</v>
      </c>
      <c r="O8" s="3">
        <v>2</v>
      </c>
      <c r="P8" s="4" t="s">
        <v>70</v>
      </c>
      <c r="Q8" s="4" t="s">
        <v>67</v>
      </c>
      <c r="R8" s="9">
        <v>0.001</v>
      </c>
      <c r="S8" s="3">
        <v>100</v>
      </c>
      <c r="T8" s="3">
        <v>100</v>
      </c>
      <c r="U8" s="4" t="s">
        <v>79</v>
      </c>
      <c r="V8" s="4" t="s">
        <v>80</v>
      </c>
      <c r="W8" s="4" t="s">
        <v>81</v>
      </c>
      <c r="X8" s="3">
        <v>40</v>
      </c>
      <c r="Y8" s="3">
        <v>80</v>
      </c>
    </row>
    <row x14ac:dyDescent="0.25" r="9" customHeight="1" ht="16.5">
      <c r="A9" s="4" t="s">
        <v>83</v>
      </c>
      <c r="B9" s="4" t="s">
        <v>87</v>
      </c>
      <c r="C9" s="4" t="s">
        <v>63</v>
      </c>
      <c r="D9" s="3">
        <v>1</v>
      </c>
      <c r="E9" s="3">
        <v>76</v>
      </c>
      <c r="F9" s="9">
        <f>0.5*(I9+J9)</f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69</v>
      </c>
      <c r="L9" s="3">
        <v>100</v>
      </c>
      <c r="M9" s="3">
        <v>100</v>
      </c>
      <c r="N9" s="3">
        <v>2</v>
      </c>
      <c r="O9" s="3">
        <v>2</v>
      </c>
      <c r="P9" s="4" t="s">
        <v>70</v>
      </c>
      <c r="Q9" s="4" t="s">
        <v>67</v>
      </c>
      <c r="R9" s="9">
        <v>0.001</v>
      </c>
      <c r="S9" s="3">
        <v>100</v>
      </c>
      <c r="T9" s="3">
        <v>100</v>
      </c>
      <c r="U9" s="4" t="s">
        <v>79</v>
      </c>
      <c r="V9" s="4" t="s">
        <v>80</v>
      </c>
      <c r="W9" s="4" t="s">
        <v>81</v>
      </c>
      <c r="X9" s="3">
        <v>40</v>
      </c>
      <c r="Y9" s="3">
        <v>80</v>
      </c>
    </row>
    <row x14ac:dyDescent="0.25" r="10" customHeight="1" ht="16.5">
      <c r="A10" s="4" t="s">
        <v>88</v>
      </c>
      <c r="B10" s="4" t="s">
        <v>89</v>
      </c>
      <c r="C10" s="4" t="s">
        <v>63</v>
      </c>
      <c r="D10" s="3">
        <v>1</v>
      </c>
      <c r="E10" s="9">
        <v>57.054</v>
      </c>
      <c r="F10" s="3">
        <f>0.5*(I10+J10)</f>
      </c>
      <c r="G10" s="4" t="s">
        <v>90</v>
      </c>
      <c r="H10" s="4" t="s">
        <v>91</v>
      </c>
      <c r="I10" s="4" t="s">
        <v>67</v>
      </c>
      <c r="J10" s="4" t="s">
        <v>92</v>
      </c>
      <c r="K10" s="4" t="s">
        <v>93</v>
      </c>
      <c r="L10" s="3">
        <v>100</v>
      </c>
      <c r="M10" s="3">
        <v>100</v>
      </c>
      <c r="N10" s="3">
        <v>2</v>
      </c>
      <c r="O10" s="3">
        <v>2</v>
      </c>
      <c r="P10" s="4" t="s">
        <v>94</v>
      </c>
      <c r="Q10" s="4" t="s">
        <v>67</v>
      </c>
      <c r="R10" s="9">
        <v>0.001</v>
      </c>
      <c r="S10" s="3">
        <v>100</v>
      </c>
      <c r="T10" s="3">
        <v>100</v>
      </c>
      <c r="U10" s="4" t="s">
        <v>95</v>
      </c>
      <c r="V10" s="4" t="s">
        <v>96</v>
      </c>
      <c r="W10" s="4" t="s">
        <v>97</v>
      </c>
      <c r="X10" s="3">
        <v>40</v>
      </c>
      <c r="Y10" s="3">
        <v>80</v>
      </c>
    </row>
    <row x14ac:dyDescent="0.25" r="11" customHeight="1" ht="16.5">
      <c r="A11" s="4" t="s">
        <v>88</v>
      </c>
      <c r="B11" s="4" t="s">
        <v>98</v>
      </c>
      <c r="C11" s="4" t="s">
        <v>63</v>
      </c>
      <c r="D11" s="3">
        <v>1</v>
      </c>
      <c r="E11" s="9">
        <v>57.054</v>
      </c>
      <c r="F11" s="3">
        <f>0.5*(I11+J11)</f>
      </c>
      <c r="G11" s="4" t="s">
        <v>90</v>
      </c>
      <c r="H11" s="4" t="s">
        <v>91</v>
      </c>
      <c r="I11" s="4" t="s">
        <v>67</v>
      </c>
      <c r="J11" s="4" t="s">
        <v>92</v>
      </c>
      <c r="K11" s="4" t="s">
        <v>93</v>
      </c>
      <c r="L11" s="3">
        <v>100</v>
      </c>
      <c r="M11" s="3">
        <v>100</v>
      </c>
      <c r="N11" s="3">
        <v>2</v>
      </c>
      <c r="O11" s="3">
        <v>2</v>
      </c>
      <c r="P11" s="4" t="s">
        <v>94</v>
      </c>
      <c r="Q11" s="4" t="s">
        <v>67</v>
      </c>
      <c r="R11" s="9">
        <v>0.001</v>
      </c>
      <c r="S11" s="3">
        <v>100</v>
      </c>
      <c r="T11" s="3">
        <v>100</v>
      </c>
      <c r="U11" s="4" t="s">
        <v>95</v>
      </c>
      <c r="V11" s="4" t="s">
        <v>96</v>
      </c>
      <c r="W11" s="4" t="s">
        <v>97</v>
      </c>
      <c r="X11" s="3">
        <v>40</v>
      </c>
      <c r="Y11" s="3">
        <v>80</v>
      </c>
    </row>
    <row x14ac:dyDescent="0.25" r="12" customHeight="1" ht="16.5">
      <c r="A12" s="4" t="s">
        <v>88</v>
      </c>
      <c r="B12" s="4" t="s">
        <v>99</v>
      </c>
      <c r="C12" s="4" t="s">
        <v>63</v>
      </c>
      <c r="D12" s="3">
        <v>1</v>
      </c>
      <c r="E12" s="9">
        <v>57.054</v>
      </c>
      <c r="F12" s="3">
        <f>0.5*(I12+J12)</f>
      </c>
      <c r="G12" s="4" t="s">
        <v>90</v>
      </c>
      <c r="H12" s="4" t="s">
        <v>91</v>
      </c>
      <c r="I12" s="4" t="s">
        <v>67</v>
      </c>
      <c r="J12" s="4" t="s">
        <v>92</v>
      </c>
      <c r="K12" s="4" t="s">
        <v>93</v>
      </c>
      <c r="L12" s="3">
        <v>100</v>
      </c>
      <c r="M12" s="3">
        <v>100</v>
      </c>
      <c r="N12" s="3">
        <v>2</v>
      </c>
      <c r="O12" s="3">
        <v>2</v>
      </c>
      <c r="P12" s="4" t="s">
        <v>94</v>
      </c>
      <c r="Q12" s="4" t="s">
        <v>67</v>
      </c>
      <c r="R12" s="9">
        <v>0.001</v>
      </c>
      <c r="S12" s="3">
        <v>100</v>
      </c>
      <c r="T12" s="3">
        <v>100</v>
      </c>
      <c r="U12" s="4" t="s">
        <v>95</v>
      </c>
      <c r="V12" s="4" t="s">
        <v>96</v>
      </c>
      <c r="W12" s="4" t="s">
        <v>97</v>
      </c>
      <c r="X12" s="3">
        <v>40</v>
      </c>
      <c r="Y12" s="3">
        <v>80</v>
      </c>
    </row>
    <row x14ac:dyDescent="0.25" r="13" customHeight="1" ht="16.5">
      <c r="A13" s="4" t="s">
        <v>100</v>
      </c>
      <c r="B13" s="4" t="s">
        <v>101</v>
      </c>
      <c r="C13" s="4" t="s">
        <v>63</v>
      </c>
      <c r="D13" s="3">
        <v>3</v>
      </c>
      <c r="E13" s="9">
        <v>76.279</v>
      </c>
      <c r="F13" s="3">
        <f>0.5*(I13+J13)</f>
      </c>
      <c r="G13" s="4" t="s">
        <v>102</v>
      </c>
      <c r="H13" s="4" t="s">
        <v>103</v>
      </c>
      <c r="I13" s="4" t="s">
        <v>67</v>
      </c>
      <c r="J13" s="4" t="s">
        <v>104</v>
      </c>
      <c r="K13" s="4" t="s">
        <v>105</v>
      </c>
      <c r="L13" s="3">
        <v>100</v>
      </c>
      <c r="M13" s="3">
        <v>100</v>
      </c>
      <c r="N13" s="3">
        <v>2</v>
      </c>
      <c r="O13" s="3">
        <v>2</v>
      </c>
      <c r="P13" s="4" t="s">
        <v>94</v>
      </c>
      <c r="Q13" s="4" t="s">
        <v>67</v>
      </c>
      <c r="R13" s="9">
        <v>0.001</v>
      </c>
      <c r="S13" s="3">
        <v>100</v>
      </c>
      <c r="T13" s="3">
        <v>100</v>
      </c>
      <c r="U13" s="4" t="s">
        <v>106</v>
      </c>
      <c r="V13" s="4" t="s">
        <v>107</v>
      </c>
      <c r="W13" s="4" t="s">
        <v>108</v>
      </c>
      <c r="X13" s="3">
        <v>40</v>
      </c>
      <c r="Y13" s="3">
        <v>80</v>
      </c>
    </row>
    <row x14ac:dyDescent="0.25" r="14" customHeight="1" ht="16.5">
      <c r="A14" s="4" t="s">
        <v>100</v>
      </c>
      <c r="B14" s="4" t="s">
        <v>109</v>
      </c>
      <c r="C14" s="4" t="s">
        <v>63</v>
      </c>
      <c r="D14" s="3">
        <v>1</v>
      </c>
      <c r="E14" s="9">
        <v>76.279</v>
      </c>
      <c r="F14" s="3">
        <f>0.5*(I14+J14)</f>
      </c>
      <c r="G14" s="4" t="s">
        <v>102</v>
      </c>
      <c r="H14" s="4" t="s">
        <v>103</v>
      </c>
      <c r="I14" s="4" t="s">
        <v>67</v>
      </c>
      <c r="J14" s="4" t="s">
        <v>104</v>
      </c>
      <c r="K14" s="4" t="s">
        <v>105</v>
      </c>
      <c r="L14" s="3">
        <v>100</v>
      </c>
      <c r="M14" s="3">
        <v>100</v>
      </c>
      <c r="N14" s="3">
        <v>2</v>
      </c>
      <c r="O14" s="3">
        <v>2</v>
      </c>
      <c r="P14" s="4" t="s">
        <v>94</v>
      </c>
      <c r="Q14" s="4" t="s">
        <v>67</v>
      </c>
      <c r="R14" s="9">
        <v>0.001</v>
      </c>
      <c r="S14" s="3">
        <v>100</v>
      </c>
      <c r="T14" s="3">
        <v>100</v>
      </c>
      <c r="U14" s="4" t="s">
        <v>106</v>
      </c>
      <c r="V14" s="4" t="s">
        <v>107</v>
      </c>
      <c r="W14" s="4" t="s">
        <v>108</v>
      </c>
      <c r="X14" s="3">
        <v>40</v>
      </c>
      <c r="Y14" s="3">
        <v>80</v>
      </c>
    </row>
    <row x14ac:dyDescent="0.25" r="15" customHeight="1" ht="16.5">
      <c r="A15" s="4" t="s">
        <v>100</v>
      </c>
      <c r="B15" s="4" t="s">
        <v>110</v>
      </c>
      <c r="C15" s="4" t="s">
        <v>63</v>
      </c>
      <c r="D15" s="3">
        <v>1</v>
      </c>
      <c r="E15" s="9">
        <v>76.279</v>
      </c>
      <c r="F15" s="3">
        <f>0.5*(I15+J15)</f>
      </c>
      <c r="G15" s="4" t="s">
        <v>102</v>
      </c>
      <c r="H15" s="4" t="s">
        <v>103</v>
      </c>
      <c r="I15" s="4" t="s">
        <v>67</v>
      </c>
      <c r="J15" s="4" t="s">
        <v>104</v>
      </c>
      <c r="K15" s="4" t="s">
        <v>105</v>
      </c>
      <c r="L15" s="3">
        <v>100</v>
      </c>
      <c r="M15" s="3">
        <v>100</v>
      </c>
      <c r="N15" s="3">
        <v>2</v>
      </c>
      <c r="O15" s="3">
        <v>2</v>
      </c>
      <c r="P15" s="4" t="s">
        <v>94</v>
      </c>
      <c r="Q15" s="4" t="s">
        <v>67</v>
      </c>
      <c r="R15" s="9">
        <v>0.001</v>
      </c>
      <c r="S15" s="3">
        <v>100</v>
      </c>
      <c r="T15" s="3">
        <v>100</v>
      </c>
      <c r="U15" s="4" t="s">
        <v>106</v>
      </c>
      <c r="V15" s="4" t="s">
        <v>107</v>
      </c>
      <c r="W15" s="4" t="s">
        <v>108</v>
      </c>
      <c r="X15" s="3">
        <v>40</v>
      </c>
      <c r="Y15" s="3">
        <v>80</v>
      </c>
    </row>
    <row x14ac:dyDescent="0.25" r="16" customHeight="1" ht="16.5">
      <c r="A16" s="4" t="s">
        <v>111</v>
      </c>
      <c r="B16" s="4" t="s">
        <v>112</v>
      </c>
      <c r="C16" s="4" t="s">
        <v>63</v>
      </c>
      <c r="D16" s="3">
        <v>1</v>
      </c>
      <c r="E16" s="3">
        <v>0</v>
      </c>
      <c r="F16" s="3">
        <f>0.5*(I16+J16)</f>
      </c>
      <c r="G16" s="4" t="s">
        <v>67</v>
      </c>
      <c r="H16" s="4" t="s">
        <v>67</v>
      </c>
      <c r="I16" s="4" t="s">
        <v>113</v>
      </c>
      <c r="J16" s="4" t="s">
        <v>114</v>
      </c>
      <c r="K16" s="4" t="s">
        <v>115</v>
      </c>
      <c r="L16" s="3">
        <v>100</v>
      </c>
      <c r="M16" s="3">
        <v>100</v>
      </c>
      <c r="N16" s="3">
        <v>2</v>
      </c>
      <c r="O16" s="3">
        <v>2</v>
      </c>
      <c r="P16" s="4" t="s">
        <v>116</v>
      </c>
      <c r="Q16" s="4" t="s">
        <v>67</v>
      </c>
      <c r="R16" s="9">
        <v>0.001</v>
      </c>
      <c r="S16" s="3">
        <v>100</v>
      </c>
      <c r="T16" s="3">
        <v>100</v>
      </c>
      <c r="U16" s="4" t="s">
        <v>67</v>
      </c>
      <c r="V16" s="4" t="s">
        <v>67</v>
      </c>
      <c r="W16" s="4" t="s">
        <v>67</v>
      </c>
      <c r="X16" s="3">
        <v>40</v>
      </c>
      <c r="Y16" s="3">
        <v>80</v>
      </c>
    </row>
    <row x14ac:dyDescent="0.25" r="17" customHeight="1" ht="16.5">
      <c r="A17" s="4" t="s">
        <v>117</v>
      </c>
      <c r="B17" s="4" t="s">
        <v>118</v>
      </c>
      <c r="C17" s="4" t="s">
        <v>63</v>
      </c>
      <c r="D17" s="3">
        <v>1</v>
      </c>
      <c r="E17" s="9">
        <v>2.4</v>
      </c>
      <c r="F17" s="3">
        <f>0.5*(I17+J17)</f>
      </c>
      <c r="G17" s="4" t="s">
        <v>119</v>
      </c>
      <c r="H17" s="4" t="s">
        <v>120</v>
      </c>
      <c r="I17" s="4" t="s">
        <v>67</v>
      </c>
      <c r="J17" s="4" t="s">
        <v>121</v>
      </c>
      <c r="K17" s="4" t="s">
        <v>122</v>
      </c>
      <c r="L17" s="3">
        <v>100</v>
      </c>
      <c r="M17" s="3">
        <v>100</v>
      </c>
      <c r="N17" s="3">
        <v>2</v>
      </c>
      <c r="O17" s="3">
        <v>2</v>
      </c>
      <c r="P17" s="4" t="s">
        <v>94</v>
      </c>
      <c r="Q17" s="4" t="s">
        <v>67</v>
      </c>
      <c r="R17" s="9">
        <v>0.001</v>
      </c>
      <c r="S17" s="3">
        <v>100</v>
      </c>
      <c r="T17" s="3">
        <v>100</v>
      </c>
      <c r="U17" s="4" t="s">
        <v>123</v>
      </c>
      <c r="V17" s="4" t="s">
        <v>124</v>
      </c>
      <c r="W17" s="4" t="s">
        <v>125</v>
      </c>
      <c r="X17" s="3">
        <v>40</v>
      </c>
      <c r="Y17" s="3">
        <v>80</v>
      </c>
    </row>
    <row x14ac:dyDescent="0.25" r="18" customHeight="1" ht="16.5">
      <c r="A18" s="4" t="s">
        <v>117</v>
      </c>
      <c r="B18" s="4" t="s">
        <v>126</v>
      </c>
      <c r="C18" s="4" t="s">
        <v>63</v>
      </c>
      <c r="D18" s="3">
        <v>1</v>
      </c>
      <c r="E18" s="9">
        <v>2.4</v>
      </c>
      <c r="F18" s="3">
        <f>0.5*(I18+J18)</f>
      </c>
      <c r="G18" s="4" t="s">
        <v>119</v>
      </c>
      <c r="H18" s="4" t="s">
        <v>120</v>
      </c>
      <c r="I18" s="4" t="s">
        <v>67</v>
      </c>
      <c r="J18" s="4" t="s">
        <v>121</v>
      </c>
      <c r="K18" s="4" t="s">
        <v>122</v>
      </c>
      <c r="L18" s="3">
        <v>100</v>
      </c>
      <c r="M18" s="3">
        <v>100</v>
      </c>
      <c r="N18" s="3">
        <v>2</v>
      </c>
      <c r="O18" s="3">
        <v>2</v>
      </c>
      <c r="P18" s="4" t="s">
        <v>94</v>
      </c>
      <c r="Q18" s="4" t="s">
        <v>67</v>
      </c>
      <c r="R18" s="9">
        <v>0.001</v>
      </c>
      <c r="S18" s="3">
        <v>100</v>
      </c>
      <c r="T18" s="3">
        <v>100</v>
      </c>
      <c r="U18" s="4" t="s">
        <v>123</v>
      </c>
      <c r="V18" s="4" t="s">
        <v>124</v>
      </c>
      <c r="W18" s="4" t="s">
        <v>125</v>
      </c>
      <c r="X18" s="3">
        <v>40</v>
      </c>
      <c r="Y18" s="3">
        <v>80</v>
      </c>
    </row>
    <row x14ac:dyDescent="0.25" r="19" customHeight="1" ht="16.5">
      <c r="A19" s="4" t="s">
        <v>117</v>
      </c>
      <c r="B19" s="4" t="s">
        <v>127</v>
      </c>
      <c r="C19" s="4" t="s">
        <v>63</v>
      </c>
      <c r="D19" s="3">
        <v>1</v>
      </c>
      <c r="E19" s="9">
        <v>2.4</v>
      </c>
      <c r="F19" s="3">
        <f>0.5*(I19+J19)</f>
      </c>
      <c r="G19" s="4" t="s">
        <v>119</v>
      </c>
      <c r="H19" s="4" t="s">
        <v>120</v>
      </c>
      <c r="I19" s="4" t="s">
        <v>67</v>
      </c>
      <c r="J19" s="4" t="s">
        <v>121</v>
      </c>
      <c r="K19" s="4" t="s">
        <v>122</v>
      </c>
      <c r="L19" s="3">
        <v>100</v>
      </c>
      <c r="M19" s="3">
        <v>100</v>
      </c>
      <c r="N19" s="3">
        <v>2</v>
      </c>
      <c r="O19" s="3">
        <v>2</v>
      </c>
      <c r="P19" s="4" t="s">
        <v>94</v>
      </c>
      <c r="Q19" s="4" t="s">
        <v>67</v>
      </c>
      <c r="R19" s="9">
        <v>0.001</v>
      </c>
      <c r="S19" s="3">
        <v>100</v>
      </c>
      <c r="T19" s="3">
        <v>100</v>
      </c>
      <c r="U19" s="4" t="s">
        <v>123</v>
      </c>
      <c r="V19" s="4" t="s">
        <v>124</v>
      </c>
      <c r="W19" s="4" t="s">
        <v>125</v>
      </c>
      <c r="X19" s="3">
        <v>40</v>
      </c>
      <c r="Y19" s="3">
        <v>80</v>
      </c>
    </row>
    <row x14ac:dyDescent="0.25" r="20" customHeight="1" ht="16.5">
      <c r="A20" s="4" t="s">
        <v>117</v>
      </c>
      <c r="B20" s="4" t="s">
        <v>128</v>
      </c>
      <c r="C20" s="4" t="s">
        <v>63</v>
      </c>
      <c r="D20" s="3">
        <v>1</v>
      </c>
      <c r="E20" s="9">
        <v>2.4</v>
      </c>
      <c r="F20" s="3">
        <f>0.5*(I20+J20)</f>
      </c>
      <c r="G20" s="4" t="s">
        <v>119</v>
      </c>
      <c r="H20" s="4" t="s">
        <v>120</v>
      </c>
      <c r="I20" s="4" t="s">
        <v>67</v>
      </c>
      <c r="J20" s="4" t="s">
        <v>121</v>
      </c>
      <c r="K20" s="4" t="s">
        <v>122</v>
      </c>
      <c r="L20" s="3">
        <v>100</v>
      </c>
      <c r="M20" s="3">
        <v>100</v>
      </c>
      <c r="N20" s="3">
        <v>2</v>
      </c>
      <c r="O20" s="3">
        <v>2</v>
      </c>
      <c r="P20" s="4" t="s">
        <v>94</v>
      </c>
      <c r="Q20" s="4" t="s">
        <v>67</v>
      </c>
      <c r="R20" s="9">
        <v>0.001</v>
      </c>
      <c r="S20" s="3">
        <v>100</v>
      </c>
      <c r="T20" s="3">
        <v>100</v>
      </c>
      <c r="U20" s="4" t="s">
        <v>123</v>
      </c>
      <c r="V20" s="4" t="s">
        <v>124</v>
      </c>
      <c r="W20" s="4" t="s">
        <v>125</v>
      </c>
      <c r="X20" s="3">
        <v>40</v>
      </c>
      <c r="Y20" s="3">
        <v>80</v>
      </c>
    </row>
    <row x14ac:dyDescent="0.25" r="21" customHeight="1" ht="16.5">
      <c r="A21" s="4" t="s">
        <v>117</v>
      </c>
      <c r="B21" s="4" t="s">
        <v>129</v>
      </c>
      <c r="C21" s="4" t="s">
        <v>63</v>
      </c>
      <c r="D21" s="3">
        <v>1</v>
      </c>
      <c r="E21" s="9">
        <v>2.4</v>
      </c>
      <c r="F21" s="3">
        <f>0.5*(I21+J21)</f>
      </c>
      <c r="G21" s="4" t="s">
        <v>119</v>
      </c>
      <c r="H21" s="4" t="s">
        <v>120</v>
      </c>
      <c r="I21" s="4" t="s">
        <v>67</v>
      </c>
      <c r="J21" s="4" t="s">
        <v>121</v>
      </c>
      <c r="K21" s="4" t="s">
        <v>122</v>
      </c>
      <c r="L21" s="3">
        <v>100</v>
      </c>
      <c r="M21" s="3">
        <v>100</v>
      </c>
      <c r="N21" s="3">
        <v>2</v>
      </c>
      <c r="O21" s="3">
        <v>2</v>
      </c>
      <c r="P21" s="4" t="s">
        <v>94</v>
      </c>
      <c r="Q21" s="4" t="s">
        <v>67</v>
      </c>
      <c r="R21" s="9">
        <v>0.001</v>
      </c>
      <c r="S21" s="3">
        <v>100</v>
      </c>
      <c r="T21" s="3">
        <v>100</v>
      </c>
      <c r="U21" s="4" t="s">
        <v>123</v>
      </c>
      <c r="V21" s="4" t="s">
        <v>124</v>
      </c>
      <c r="W21" s="4" t="s">
        <v>125</v>
      </c>
      <c r="X21" s="3">
        <v>40</v>
      </c>
      <c r="Y21" s="3">
        <v>80</v>
      </c>
    </row>
    <row x14ac:dyDescent="0.25" r="22" customHeight="1" ht="16.5">
      <c r="A22" s="4" t="s">
        <v>117</v>
      </c>
      <c r="B22" s="4" t="s">
        <v>130</v>
      </c>
      <c r="C22" s="4" t="s">
        <v>63</v>
      </c>
      <c r="D22" s="3">
        <v>1</v>
      </c>
      <c r="E22" s="3">
        <v>155</v>
      </c>
      <c r="F22" s="3">
        <f>0.5*(I22+J22)</f>
      </c>
      <c r="G22" s="4" t="s">
        <v>131</v>
      </c>
      <c r="H22" s="4" t="s">
        <v>132</v>
      </c>
      <c r="I22" s="4" t="s">
        <v>113</v>
      </c>
      <c r="J22" s="4" t="s">
        <v>104</v>
      </c>
      <c r="K22" s="4" t="s">
        <v>122</v>
      </c>
      <c r="L22" s="3">
        <v>100</v>
      </c>
      <c r="M22" s="3">
        <v>100</v>
      </c>
      <c r="N22" s="3">
        <v>2</v>
      </c>
      <c r="O22" s="3">
        <v>2</v>
      </c>
      <c r="P22" s="4" t="s">
        <v>94</v>
      </c>
      <c r="Q22" s="4" t="s">
        <v>67</v>
      </c>
      <c r="R22" s="9">
        <v>0.001</v>
      </c>
      <c r="S22" s="3">
        <v>100</v>
      </c>
      <c r="T22" s="3">
        <v>100</v>
      </c>
      <c r="U22" s="4" t="s">
        <v>133</v>
      </c>
      <c r="V22" s="4" t="s">
        <v>134</v>
      </c>
      <c r="W22" s="4" t="s">
        <v>135</v>
      </c>
      <c r="X22" s="3">
        <v>40</v>
      </c>
      <c r="Y22" s="3">
        <v>80</v>
      </c>
    </row>
    <row x14ac:dyDescent="0.25" r="23" customHeight="1" ht="16.5">
      <c r="A23" s="4" t="s">
        <v>65</v>
      </c>
      <c r="B23" s="4" t="s">
        <v>136</v>
      </c>
      <c r="C23" s="4" t="s">
        <v>63</v>
      </c>
      <c r="D23" s="3">
        <v>1</v>
      </c>
      <c r="E23" s="3">
        <v>155</v>
      </c>
      <c r="F23" s="3">
        <f>0.5*(I23+J23)</f>
      </c>
      <c r="G23" s="4" t="s">
        <v>131</v>
      </c>
      <c r="H23" s="4" t="s">
        <v>132</v>
      </c>
      <c r="I23" s="4" t="s">
        <v>113</v>
      </c>
      <c r="J23" s="4" t="s">
        <v>104</v>
      </c>
      <c r="K23" s="4" t="s">
        <v>137</v>
      </c>
      <c r="L23" s="3">
        <v>100</v>
      </c>
      <c r="M23" s="3">
        <v>100</v>
      </c>
      <c r="N23" s="3">
        <v>2</v>
      </c>
      <c r="O23" s="3">
        <v>2</v>
      </c>
      <c r="P23" s="4" t="s">
        <v>70</v>
      </c>
      <c r="Q23" s="4" t="s">
        <v>67</v>
      </c>
      <c r="R23" s="9">
        <v>0.001</v>
      </c>
      <c r="S23" s="3">
        <v>100</v>
      </c>
      <c r="T23" s="3">
        <v>100</v>
      </c>
      <c r="U23" s="4" t="s">
        <v>133</v>
      </c>
      <c r="V23" s="4" t="s">
        <v>134</v>
      </c>
      <c r="W23" s="4" t="s">
        <v>135</v>
      </c>
      <c r="X23" s="3">
        <v>40</v>
      </c>
      <c r="Y23" s="3">
        <v>80</v>
      </c>
    </row>
    <row x14ac:dyDescent="0.25" r="24" customHeight="1" ht="16.5">
      <c r="A24" s="4" t="s">
        <v>138</v>
      </c>
      <c r="B24" s="4" t="s">
        <v>139</v>
      </c>
      <c r="C24" s="4" t="s">
        <v>63</v>
      </c>
      <c r="D24" s="3">
        <v>1</v>
      </c>
      <c r="E24" s="3">
        <v>400</v>
      </c>
      <c r="F24" s="3">
        <f>0.5*(I24+J24)</f>
      </c>
      <c r="G24" s="4" t="s">
        <v>91</v>
      </c>
      <c r="H24" s="4" t="s">
        <v>140</v>
      </c>
      <c r="I24" s="4" t="s">
        <v>113</v>
      </c>
      <c r="J24" s="4" t="s">
        <v>114</v>
      </c>
      <c r="K24" s="4" t="s">
        <v>141</v>
      </c>
      <c r="L24" s="3">
        <v>100</v>
      </c>
      <c r="M24" s="3">
        <v>100</v>
      </c>
      <c r="N24" s="3">
        <v>2</v>
      </c>
      <c r="O24" s="3">
        <v>2</v>
      </c>
      <c r="P24" s="4" t="s">
        <v>142</v>
      </c>
      <c r="Q24" s="4" t="s">
        <v>67</v>
      </c>
      <c r="R24" s="9">
        <v>0.001</v>
      </c>
      <c r="S24" s="3">
        <v>100</v>
      </c>
      <c r="T24" s="3">
        <v>100</v>
      </c>
      <c r="U24" s="4" t="s">
        <v>143</v>
      </c>
      <c r="V24" s="4" t="s">
        <v>144</v>
      </c>
      <c r="W24" s="4" t="s">
        <v>145</v>
      </c>
      <c r="X24" s="3">
        <v>40</v>
      </c>
      <c r="Y24" s="3">
        <v>80</v>
      </c>
    </row>
    <row x14ac:dyDescent="0.25" r="25" customHeight="1" ht="16.5">
      <c r="A25" s="4" t="s">
        <v>146</v>
      </c>
      <c r="B25" s="4" t="s">
        <v>147</v>
      </c>
      <c r="C25" s="4" t="s">
        <v>63</v>
      </c>
      <c r="D25" s="3">
        <v>1</v>
      </c>
      <c r="E25" s="3">
        <v>400</v>
      </c>
      <c r="F25" s="3">
        <f>0.5*(I25+J25)</f>
      </c>
      <c r="G25" s="4" t="s">
        <v>91</v>
      </c>
      <c r="H25" s="4" t="s">
        <v>140</v>
      </c>
      <c r="I25" s="4" t="s">
        <v>113</v>
      </c>
      <c r="J25" s="4" t="s">
        <v>114</v>
      </c>
      <c r="K25" s="4" t="s">
        <v>141</v>
      </c>
      <c r="L25" s="3">
        <v>100</v>
      </c>
      <c r="M25" s="3">
        <v>100</v>
      </c>
      <c r="N25" s="3">
        <v>2</v>
      </c>
      <c r="O25" s="3">
        <v>2</v>
      </c>
      <c r="P25" s="4" t="s">
        <v>142</v>
      </c>
      <c r="Q25" s="4" t="s">
        <v>67</v>
      </c>
      <c r="R25" s="9">
        <v>0.001</v>
      </c>
      <c r="S25" s="3">
        <v>100</v>
      </c>
      <c r="T25" s="3">
        <v>100</v>
      </c>
      <c r="U25" s="4" t="s">
        <v>143</v>
      </c>
      <c r="V25" s="4" t="s">
        <v>144</v>
      </c>
      <c r="W25" s="4" t="s">
        <v>145</v>
      </c>
      <c r="X25" s="3">
        <v>40</v>
      </c>
      <c r="Y25" s="3">
        <v>80</v>
      </c>
    </row>
    <row x14ac:dyDescent="0.25" r="26" customHeight="1" ht="16.5">
      <c r="A26" s="4" t="s">
        <v>148</v>
      </c>
      <c r="B26" s="4" t="s">
        <v>149</v>
      </c>
      <c r="C26" s="4" t="s">
        <v>63</v>
      </c>
      <c r="D26" s="3">
        <v>1</v>
      </c>
      <c r="E26" s="3">
        <v>50</v>
      </c>
      <c r="F26" s="3">
        <f>0.5*(I26+J26)</f>
      </c>
      <c r="G26" s="4" t="s">
        <v>68</v>
      </c>
      <c r="H26" s="4" t="s">
        <v>150</v>
      </c>
      <c r="I26" s="4" t="s">
        <v>151</v>
      </c>
      <c r="J26" s="4" t="s">
        <v>65</v>
      </c>
      <c r="K26" s="4" t="s">
        <v>141</v>
      </c>
      <c r="L26" s="3">
        <v>100</v>
      </c>
      <c r="M26" s="3">
        <v>100</v>
      </c>
      <c r="N26" s="3">
        <v>2</v>
      </c>
      <c r="O26" s="3">
        <v>2</v>
      </c>
      <c r="P26" s="4" t="s">
        <v>152</v>
      </c>
      <c r="Q26" s="4" t="s">
        <v>67</v>
      </c>
      <c r="R26" s="9">
        <v>0.001</v>
      </c>
      <c r="S26" s="3">
        <v>100</v>
      </c>
      <c r="T26" s="3">
        <v>100</v>
      </c>
      <c r="U26" s="4" t="s">
        <v>67</v>
      </c>
      <c r="V26" s="4" t="s">
        <v>153</v>
      </c>
      <c r="W26" s="4" t="s">
        <v>153</v>
      </c>
      <c r="X26" s="3">
        <v>40</v>
      </c>
      <c r="Y26" s="3">
        <v>80</v>
      </c>
    </row>
    <row x14ac:dyDescent="0.25" r="27" customHeight="1" ht="16.5">
      <c r="A27" s="4" t="s">
        <v>148</v>
      </c>
      <c r="B27" s="4" t="s">
        <v>154</v>
      </c>
      <c r="C27" s="4" t="s">
        <v>63</v>
      </c>
      <c r="D27" s="3">
        <v>1</v>
      </c>
      <c r="E27" s="3">
        <v>50</v>
      </c>
      <c r="F27" s="3">
        <f>0.5*(I27+J27)</f>
      </c>
      <c r="G27" s="4" t="s">
        <v>68</v>
      </c>
      <c r="H27" s="4" t="s">
        <v>150</v>
      </c>
      <c r="I27" s="4" t="s">
        <v>151</v>
      </c>
      <c r="J27" s="4" t="s">
        <v>65</v>
      </c>
      <c r="K27" s="4" t="s">
        <v>141</v>
      </c>
      <c r="L27" s="3">
        <v>100</v>
      </c>
      <c r="M27" s="3">
        <v>100</v>
      </c>
      <c r="N27" s="3">
        <v>2</v>
      </c>
      <c r="O27" s="3">
        <v>2</v>
      </c>
      <c r="P27" s="4" t="s">
        <v>152</v>
      </c>
      <c r="Q27" s="4" t="s">
        <v>67</v>
      </c>
      <c r="R27" s="9">
        <v>0.001</v>
      </c>
      <c r="S27" s="3">
        <v>100</v>
      </c>
      <c r="T27" s="3">
        <v>100</v>
      </c>
      <c r="U27" s="4" t="s">
        <v>67</v>
      </c>
      <c r="V27" s="4" t="s">
        <v>153</v>
      </c>
      <c r="W27" s="4" t="s">
        <v>153</v>
      </c>
      <c r="X27" s="3">
        <v>40</v>
      </c>
      <c r="Y27" s="3">
        <v>80</v>
      </c>
    </row>
    <row x14ac:dyDescent="0.25" r="28" customHeight="1" ht="16.5">
      <c r="A28" s="4" t="s">
        <v>148</v>
      </c>
      <c r="B28" s="4" t="s">
        <v>155</v>
      </c>
      <c r="C28" s="4" t="s">
        <v>63</v>
      </c>
      <c r="D28" s="3">
        <v>1</v>
      </c>
      <c r="E28" s="3">
        <v>50</v>
      </c>
      <c r="F28" s="3">
        <f>0.5*(I28+J28)</f>
      </c>
      <c r="G28" s="4" t="s">
        <v>68</v>
      </c>
      <c r="H28" s="4" t="s">
        <v>150</v>
      </c>
      <c r="I28" s="4" t="s">
        <v>151</v>
      </c>
      <c r="J28" s="4" t="s">
        <v>65</v>
      </c>
      <c r="K28" s="4" t="s">
        <v>141</v>
      </c>
      <c r="L28" s="3">
        <v>100</v>
      </c>
      <c r="M28" s="3">
        <v>100</v>
      </c>
      <c r="N28" s="3">
        <v>2</v>
      </c>
      <c r="O28" s="3">
        <v>2</v>
      </c>
      <c r="P28" s="4" t="s">
        <v>152</v>
      </c>
      <c r="Q28" s="4" t="s">
        <v>67</v>
      </c>
      <c r="R28" s="9">
        <v>0.001</v>
      </c>
      <c r="S28" s="3">
        <v>100</v>
      </c>
      <c r="T28" s="3">
        <v>100</v>
      </c>
      <c r="U28" s="4" t="s">
        <v>67</v>
      </c>
      <c r="V28" s="4" t="s">
        <v>153</v>
      </c>
      <c r="W28" s="4" t="s">
        <v>153</v>
      </c>
      <c r="X28" s="3">
        <v>40</v>
      </c>
      <c r="Y28" s="3">
        <v>80</v>
      </c>
    </row>
    <row x14ac:dyDescent="0.25" r="29" customHeight="1" ht="16.5">
      <c r="A29" s="4" t="s">
        <v>148</v>
      </c>
      <c r="B29" s="4" t="s">
        <v>156</v>
      </c>
      <c r="C29" s="4" t="s">
        <v>63</v>
      </c>
      <c r="D29" s="3">
        <v>1</v>
      </c>
      <c r="E29" s="3">
        <v>50</v>
      </c>
      <c r="F29" s="3">
        <f>0.5*(I29+J29)</f>
      </c>
      <c r="G29" s="4" t="s">
        <v>68</v>
      </c>
      <c r="H29" s="4" t="s">
        <v>150</v>
      </c>
      <c r="I29" s="4" t="s">
        <v>151</v>
      </c>
      <c r="J29" s="4" t="s">
        <v>65</v>
      </c>
      <c r="K29" s="4" t="s">
        <v>141</v>
      </c>
      <c r="L29" s="3">
        <v>100</v>
      </c>
      <c r="M29" s="3">
        <v>100</v>
      </c>
      <c r="N29" s="3">
        <v>2</v>
      </c>
      <c r="O29" s="3">
        <v>2</v>
      </c>
      <c r="P29" s="4" t="s">
        <v>152</v>
      </c>
      <c r="Q29" s="4" t="s">
        <v>67</v>
      </c>
      <c r="R29" s="9">
        <v>0.001</v>
      </c>
      <c r="S29" s="3">
        <v>100</v>
      </c>
      <c r="T29" s="3">
        <v>100</v>
      </c>
      <c r="U29" s="4" t="s">
        <v>67</v>
      </c>
      <c r="V29" s="4" t="s">
        <v>153</v>
      </c>
      <c r="W29" s="4" t="s">
        <v>153</v>
      </c>
      <c r="X29" s="3">
        <v>40</v>
      </c>
      <c r="Y29" s="3">
        <v>80</v>
      </c>
    </row>
    <row x14ac:dyDescent="0.25" r="30" customHeight="1" ht="16.5">
      <c r="A30" s="4" t="s">
        <v>148</v>
      </c>
      <c r="B30" s="4" t="s">
        <v>157</v>
      </c>
      <c r="C30" s="4" t="s">
        <v>63</v>
      </c>
      <c r="D30" s="3">
        <v>1</v>
      </c>
      <c r="E30" s="3">
        <v>50</v>
      </c>
      <c r="F30" s="3">
        <f>0.5*(I30+J30)</f>
      </c>
      <c r="G30" s="4" t="s">
        <v>68</v>
      </c>
      <c r="H30" s="4" t="s">
        <v>150</v>
      </c>
      <c r="I30" s="4" t="s">
        <v>151</v>
      </c>
      <c r="J30" s="4" t="s">
        <v>65</v>
      </c>
      <c r="K30" s="4" t="s">
        <v>141</v>
      </c>
      <c r="L30" s="3">
        <v>100</v>
      </c>
      <c r="M30" s="3">
        <v>100</v>
      </c>
      <c r="N30" s="3">
        <v>2</v>
      </c>
      <c r="O30" s="3">
        <v>2</v>
      </c>
      <c r="P30" s="4" t="s">
        <v>152</v>
      </c>
      <c r="Q30" s="4" t="s">
        <v>67</v>
      </c>
      <c r="R30" s="9">
        <v>0.001</v>
      </c>
      <c r="S30" s="3">
        <v>100</v>
      </c>
      <c r="T30" s="3">
        <v>100</v>
      </c>
      <c r="U30" s="4" t="s">
        <v>67</v>
      </c>
      <c r="V30" s="4" t="s">
        <v>153</v>
      </c>
      <c r="W30" s="4" t="s">
        <v>153</v>
      </c>
      <c r="X30" s="3">
        <v>40</v>
      </c>
      <c r="Y30" s="3">
        <v>80</v>
      </c>
    </row>
    <row x14ac:dyDescent="0.25" r="31" customHeight="1" ht="16.5">
      <c r="A31" s="4" t="s">
        <v>148</v>
      </c>
      <c r="B31" s="4" t="s">
        <v>158</v>
      </c>
      <c r="C31" s="4" t="s">
        <v>63</v>
      </c>
      <c r="D31" s="3">
        <v>1</v>
      </c>
      <c r="E31" s="3">
        <v>50</v>
      </c>
      <c r="F31" s="3">
        <f>0.5*(I31+J31)</f>
      </c>
      <c r="G31" s="4" t="s">
        <v>68</v>
      </c>
      <c r="H31" s="4" t="s">
        <v>150</v>
      </c>
      <c r="I31" s="4" t="s">
        <v>151</v>
      </c>
      <c r="J31" s="4" t="s">
        <v>65</v>
      </c>
      <c r="K31" s="4" t="s">
        <v>141</v>
      </c>
      <c r="L31" s="3">
        <v>100</v>
      </c>
      <c r="M31" s="3">
        <v>100</v>
      </c>
      <c r="N31" s="3">
        <v>2</v>
      </c>
      <c r="O31" s="3">
        <v>2</v>
      </c>
      <c r="P31" s="4" t="s">
        <v>152</v>
      </c>
      <c r="Q31" s="4" t="s">
        <v>67</v>
      </c>
      <c r="R31" s="9">
        <v>0.001</v>
      </c>
      <c r="S31" s="3">
        <v>100</v>
      </c>
      <c r="T31" s="3">
        <v>100</v>
      </c>
      <c r="U31" s="4" t="s">
        <v>67</v>
      </c>
      <c r="V31" s="4" t="s">
        <v>153</v>
      </c>
      <c r="W31" s="4" t="s">
        <v>153</v>
      </c>
      <c r="X31" s="3">
        <v>40</v>
      </c>
      <c r="Y31" s="3">
        <v>80</v>
      </c>
    </row>
    <row x14ac:dyDescent="0.25" r="32" customHeight="1" ht="16.5">
      <c r="A32" s="4" t="s">
        <v>159</v>
      </c>
      <c r="B32" s="4" t="s">
        <v>160</v>
      </c>
      <c r="C32" s="4" t="s">
        <v>63</v>
      </c>
      <c r="D32" s="3">
        <v>1</v>
      </c>
      <c r="E32" s="3">
        <v>155</v>
      </c>
      <c r="F32" s="3">
        <f>0.5*(I32+J32)</f>
      </c>
      <c r="G32" s="4" t="s">
        <v>131</v>
      </c>
      <c r="H32" s="4" t="s">
        <v>132</v>
      </c>
      <c r="I32" s="4" t="s">
        <v>113</v>
      </c>
      <c r="J32" s="4" t="s">
        <v>104</v>
      </c>
      <c r="K32" s="4" t="s">
        <v>141</v>
      </c>
      <c r="L32" s="3">
        <v>100</v>
      </c>
      <c r="M32" s="3">
        <v>100</v>
      </c>
      <c r="N32" s="3">
        <v>2</v>
      </c>
      <c r="O32" s="3">
        <v>2</v>
      </c>
      <c r="P32" s="4" t="s">
        <v>70</v>
      </c>
      <c r="Q32" s="4" t="s">
        <v>67</v>
      </c>
      <c r="R32" s="9">
        <v>0.001</v>
      </c>
      <c r="S32" s="3">
        <v>100</v>
      </c>
      <c r="T32" s="3">
        <v>100</v>
      </c>
      <c r="U32" s="4" t="s">
        <v>133</v>
      </c>
      <c r="V32" s="4" t="s">
        <v>134</v>
      </c>
      <c r="W32" s="4" t="s">
        <v>135</v>
      </c>
      <c r="X32" s="3">
        <v>40</v>
      </c>
      <c r="Y32" s="3">
        <v>80</v>
      </c>
    </row>
    <row x14ac:dyDescent="0.25" r="33" customHeight="1" ht="16.5">
      <c r="A33" s="4" t="s">
        <v>159</v>
      </c>
      <c r="B33" s="4" t="s">
        <v>161</v>
      </c>
      <c r="C33" s="4" t="s">
        <v>63</v>
      </c>
      <c r="D33" s="3">
        <v>1</v>
      </c>
      <c r="E33" s="3">
        <v>155</v>
      </c>
      <c r="F33" s="3">
        <f>0.5*(I33+J33)</f>
      </c>
      <c r="G33" s="4" t="s">
        <v>131</v>
      </c>
      <c r="H33" s="4" t="s">
        <v>132</v>
      </c>
      <c r="I33" s="4" t="s">
        <v>113</v>
      </c>
      <c r="J33" s="4" t="s">
        <v>104</v>
      </c>
      <c r="K33" s="4" t="s">
        <v>141</v>
      </c>
      <c r="L33" s="3">
        <v>100</v>
      </c>
      <c r="M33" s="3">
        <v>100</v>
      </c>
      <c r="N33" s="3">
        <v>2</v>
      </c>
      <c r="O33" s="3">
        <v>2</v>
      </c>
      <c r="P33" s="4" t="s">
        <v>70</v>
      </c>
      <c r="Q33" s="4" t="s">
        <v>67</v>
      </c>
      <c r="R33" s="9">
        <v>0.001</v>
      </c>
      <c r="S33" s="3">
        <v>100</v>
      </c>
      <c r="T33" s="3">
        <v>100</v>
      </c>
      <c r="U33" s="4" t="s">
        <v>133</v>
      </c>
      <c r="V33" s="4" t="s">
        <v>134</v>
      </c>
      <c r="W33" s="4" t="s">
        <v>135</v>
      </c>
      <c r="X33" s="3">
        <v>40</v>
      </c>
      <c r="Y33" s="3">
        <v>80</v>
      </c>
    </row>
    <row x14ac:dyDescent="0.25" r="34" customHeight="1" ht="16.5">
      <c r="A34" s="4" t="s">
        <v>159</v>
      </c>
      <c r="B34" s="4" t="s">
        <v>162</v>
      </c>
      <c r="C34" s="4" t="s">
        <v>63</v>
      </c>
      <c r="D34" s="3">
        <v>1</v>
      </c>
      <c r="E34" s="3">
        <v>350</v>
      </c>
      <c r="F34" s="9">
        <f>0.5*(I34+J34)</f>
      </c>
      <c r="G34" s="4" t="s">
        <v>163</v>
      </c>
      <c r="H34" s="4" t="s">
        <v>164</v>
      </c>
      <c r="I34" s="4" t="s">
        <v>77</v>
      </c>
      <c r="J34" s="4" t="s">
        <v>165</v>
      </c>
      <c r="K34" s="4" t="s">
        <v>141</v>
      </c>
      <c r="L34" s="3">
        <v>100</v>
      </c>
      <c r="M34" s="3">
        <v>100</v>
      </c>
      <c r="N34" s="3">
        <v>2</v>
      </c>
      <c r="O34" s="3">
        <v>2</v>
      </c>
      <c r="P34" s="4" t="s">
        <v>70</v>
      </c>
      <c r="Q34" s="4" t="s">
        <v>67</v>
      </c>
      <c r="R34" s="9">
        <v>0.001</v>
      </c>
      <c r="S34" s="3">
        <v>100</v>
      </c>
      <c r="T34" s="3">
        <v>100</v>
      </c>
      <c r="U34" s="4" t="s">
        <v>166</v>
      </c>
      <c r="V34" s="4" t="s">
        <v>167</v>
      </c>
      <c r="W34" s="4" t="s">
        <v>168</v>
      </c>
      <c r="X34" s="3">
        <v>40</v>
      </c>
      <c r="Y34" s="3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6" width="11.862142857142858" customWidth="1" bestFit="1"/>
  </cols>
  <sheetData>
    <row x14ac:dyDescent="0.25" r="1" customHeight="1" ht="16.5">
      <c r="A1" s="1" t="s">
        <v>39</v>
      </c>
    </row>
    <row x14ac:dyDescent="0.25" r="2" customHeight="1" ht="16.5">
      <c r="A2" s="3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2"/>
  <sheetViews>
    <sheetView workbookViewId="0"/>
  </sheetViews>
  <sheetFormatPr defaultRowHeight="15" x14ac:dyDescent="0.25"/>
  <cols>
    <col min="1" max="1" style="6" width="11.862142857142858" customWidth="1" bestFit="1"/>
    <col min="2" max="2" style="26" width="11.862142857142858" customWidth="1" bestFit="1"/>
    <col min="3" max="3" style="26" width="11.862142857142858" customWidth="1" bestFit="1"/>
    <col min="4" max="4" style="26" width="11.862142857142858" customWidth="1" bestFit="1"/>
    <col min="5" max="5" style="26" width="11.862142857142858" customWidth="1" bestFit="1"/>
    <col min="6" max="6" style="26" width="11.862142857142858" customWidth="1" bestFit="1"/>
    <col min="7" max="7" style="26" width="11.862142857142858" customWidth="1" bestFit="1"/>
    <col min="8" max="8" style="26" width="11.862142857142858" customWidth="1" bestFit="1"/>
    <col min="9" max="9" style="26" width="11.862142857142858" customWidth="1" bestFit="1"/>
    <col min="10" max="10" style="26" width="11.862142857142858" customWidth="1" bestFit="1"/>
    <col min="11" max="11" style="26" width="11.862142857142858" customWidth="1" bestFit="1"/>
    <col min="12" max="12" style="26" width="11.862142857142858" customWidth="1" bestFit="1"/>
    <col min="13" max="13" style="26" width="11.862142857142858" customWidth="1" bestFit="1"/>
    <col min="14" max="14" style="26" width="11.862142857142858" customWidth="1" bestFit="1"/>
    <col min="15" max="15" style="26" width="11.862142857142858" customWidth="1" bestFit="1"/>
    <col min="16" max="16" style="26" width="11.862142857142858" customWidth="1" bestFit="1"/>
    <col min="17" max="17" style="26" width="11.862142857142858" customWidth="1" bestFit="1"/>
    <col min="18" max="18" style="26" width="11.862142857142858" customWidth="1" bestFit="1"/>
    <col min="19" max="19" style="11" width="11.862142857142858" customWidth="1" bestFit="1"/>
    <col min="20" max="20" style="11" width="11.862142857142858" customWidth="1" bestFit="1"/>
    <col min="21" max="21" style="11" width="11.862142857142858" customWidth="1" bestFit="1"/>
    <col min="22" max="22" style="11" width="11.862142857142858" customWidth="1" bestFit="1"/>
    <col min="23" max="23" style="11" width="11.862142857142858" customWidth="1" bestFit="1"/>
    <col min="24" max="24" style="11" width="11.862142857142858" customWidth="1" bestFit="1"/>
    <col min="25" max="25" style="11" width="11.862142857142858" customWidth="1" bestFit="1"/>
    <col min="26" max="26" style="11" width="11.862142857142858" customWidth="1" bestFit="1"/>
    <col min="27" max="27" style="11" width="11.862142857142858" customWidth="1" bestFit="1"/>
    <col min="28" max="28" style="11" width="11.862142857142858" customWidth="1" bestFit="1"/>
    <col min="29" max="29" style="11" width="11.862142857142858" customWidth="1" bestFit="1"/>
    <col min="30" max="30" style="11" width="11.862142857142858" customWidth="1" bestFit="1"/>
    <col min="31" max="31" style="11" width="11.862142857142858" customWidth="1" bestFit="1"/>
    <col min="32" max="32" style="11" width="11.862142857142858" customWidth="1" bestFit="1"/>
    <col min="33" max="33" style="11" width="11.862142857142858" customWidth="1" bestFit="1"/>
    <col min="34" max="34" style="11" width="11.862142857142858" customWidth="1" bestFit="1"/>
    <col min="35" max="35" style="11" width="11.862142857142858" customWidth="1" bestFit="1"/>
    <col min="36" max="36" style="11" width="11.862142857142858" customWidth="1" bestFit="1"/>
    <col min="37" max="37" style="11" width="11.862142857142858" customWidth="1" bestFit="1"/>
    <col min="38" max="38" style="11" width="11.862142857142858" customWidth="1" bestFit="1"/>
  </cols>
  <sheetData>
    <row x14ac:dyDescent="0.25" r="1" customHeight="1" ht="16.5">
      <c r="A1" s="3"/>
      <c r="B1" s="12" t="s">
        <v>21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x14ac:dyDescent="0.25" r="2" customHeight="1" ht="16.5">
      <c r="A2" s="14" t="s">
        <v>0</v>
      </c>
      <c r="B2" s="15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6" t="s">
        <v>31</v>
      </c>
      <c r="L2" s="16" t="s">
        <v>32</v>
      </c>
      <c r="M2" s="16" t="s">
        <v>33</v>
      </c>
      <c r="N2" s="16" t="s">
        <v>34</v>
      </c>
      <c r="O2" s="16" t="s">
        <v>35</v>
      </c>
      <c r="P2" s="16" t="s">
        <v>36</v>
      </c>
      <c r="Q2" s="16" t="s">
        <v>37</v>
      </c>
      <c r="R2" s="17" t="s">
        <v>38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x14ac:dyDescent="0.25" r="3" customHeight="1" ht="16.5">
      <c r="A3" s="5">
        <v>1</v>
      </c>
      <c r="B3" s="19">
        <v>108</v>
      </c>
      <c r="C3" s="20">
        <v>97</v>
      </c>
      <c r="D3" s="20">
        <v>180</v>
      </c>
      <c r="E3" s="20">
        <v>74</v>
      </c>
      <c r="F3" s="20">
        <v>71</v>
      </c>
      <c r="G3" s="20">
        <v>136</v>
      </c>
      <c r="H3" s="20">
        <v>125</v>
      </c>
      <c r="I3" s="20">
        <v>171</v>
      </c>
      <c r="J3" s="20">
        <v>175</v>
      </c>
      <c r="K3" s="20">
        <v>195</v>
      </c>
      <c r="L3" s="20">
        <v>265</v>
      </c>
      <c r="M3" s="20">
        <v>194</v>
      </c>
      <c r="N3" s="20">
        <v>317</v>
      </c>
      <c r="O3" s="20">
        <v>100</v>
      </c>
      <c r="P3" s="20">
        <v>333</v>
      </c>
      <c r="Q3" s="20">
        <v>181</v>
      </c>
      <c r="R3" s="21">
        <v>128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x14ac:dyDescent="0.25" r="4" customHeight="1" ht="16.5">
      <c r="A4" s="5">
        <v>2</v>
      </c>
      <c r="B4" s="19">
        <v>90</v>
      </c>
      <c r="C4" s="20">
        <v>97</v>
      </c>
      <c r="D4" s="20">
        <v>180</v>
      </c>
      <c r="E4" s="20">
        <v>74</v>
      </c>
      <c r="F4" s="20">
        <v>71</v>
      </c>
      <c r="G4" s="20">
        <v>136</v>
      </c>
      <c r="H4" s="20">
        <v>125</v>
      </c>
      <c r="I4" s="20">
        <v>171</v>
      </c>
      <c r="J4" s="20">
        <v>175</v>
      </c>
      <c r="K4" s="20">
        <v>195</v>
      </c>
      <c r="L4" s="20">
        <v>265</v>
      </c>
      <c r="M4" s="20">
        <v>194</v>
      </c>
      <c r="N4" s="20">
        <v>317</v>
      </c>
      <c r="O4" s="20">
        <v>100</v>
      </c>
      <c r="P4" s="20">
        <v>333</v>
      </c>
      <c r="Q4" s="20">
        <v>181</v>
      </c>
      <c r="R4" s="21">
        <v>128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x14ac:dyDescent="0.25" r="5" customHeight="1" ht="16.5">
      <c r="A5" s="5">
        <v>3</v>
      </c>
      <c r="B5" s="19">
        <v>67</v>
      </c>
      <c r="C5" s="20">
        <v>97</v>
      </c>
      <c r="D5" s="20">
        <v>180</v>
      </c>
      <c r="E5" s="20">
        <v>74</v>
      </c>
      <c r="F5" s="20">
        <v>71</v>
      </c>
      <c r="G5" s="20">
        <v>136</v>
      </c>
      <c r="H5" s="20">
        <v>125</v>
      </c>
      <c r="I5" s="20">
        <v>171</v>
      </c>
      <c r="J5" s="20">
        <v>175</v>
      </c>
      <c r="K5" s="20">
        <v>195</v>
      </c>
      <c r="L5" s="20">
        <v>265</v>
      </c>
      <c r="M5" s="20">
        <v>194</v>
      </c>
      <c r="N5" s="20">
        <v>317</v>
      </c>
      <c r="O5" s="20">
        <v>100</v>
      </c>
      <c r="P5" s="20">
        <v>333</v>
      </c>
      <c r="Q5" s="20">
        <v>181</v>
      </c>
      <c r="R5" s="21">
        <v>128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x14ac:dyDescent="0.25" r="6" customHeight="1" ht="16.5">
      <c r="A6" s="5">
        <v>4</v>
      </c>
      <c r="B6" s="19">
        <v>6</v>
      </c>
      <c r="C6" s="20">
        <v>97</v>
      </c>
      <c r="D6" s="20">
        <v>180</v>
      </c>
      <c r="E6" s="20">
        <v>74</v>
      </c>
      <c r="F6" s="20">
        <v>71</v>
      </c>
      <c r="G6" s="20">
        <v>136</v>
      </c>
      <c r="H6" s="20">
        <v>125</v>
      </c>
      <c r="I6" s="20">
        <v>171</v>
      </c>
      <c r="J6" s="20">
        <v>175</v>
      </c>
      <c r="K6" s="20">
        <v>195</v>
      </c>
      <c r="L6" s="20">
        <v>265</v>
      </c>
      <c r="M6" s="20">
        <v>194</v>
      </c>
      <c r="N6" s="20">
        <v>317</v>
      </c>
      <c r="O6" s="20">
        <v>100</v>
      </c>
      <c r="P6" s="20">
        <v>333</v>
      </c>
      <c r="Q6" s="20">
        <v>181</v>
      </c>
      <c r="R6" s="21">
        <v>128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x14ac:dyDescent="0.25" r="7" customHeight="1" ht="16.5">
      <c r="A7" s="5">
        <v>5</v>
      </c>
      <c r="B7" s="19">
        <v>108</v>
      </c>
      <c r="C7" s="20">
        <v>97</v>
      </c>
      <c r="D7" s="20">
        <v>180</v>
      </c>
      <c r="E7" s="20">
        <v>74</v>
      </c>
      <c r="F7" s="20">
        <v>71</v>
      </c>
      <c r="G7" s="20">
        <v>136</v>
      </c>
      <c r="H7" s="20">
        <v>125</v>
      </c>
      <c r="I7" s="20">
        <v>171</v>
      </c>
      <c r="J7" s="20">
        <v>175</v>
      </c>
      <c r="K7" s="20">
        <v>195</v>
      </c>
      <c r="L7" s="20">
        <v>265</v>
      </c>
      <c r="M7" s="20">
        <v>194</v>
      </c>
      <c r="N7" s="20">
        <v>317</v>
      </c>
      <c r="O7" s="20">
        <v>100</v>
      </c>
      <c r="P7" s="20">
        <v>333</v>
      </c>
      <c r="Q7" s="20">
        <v>181</v>
      </c>
      <c r="R7" s="21">
        <v>128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x14ac:dyDescent="0.25" r="8" customHeight="1" ht="16.5">
      <c r="A8" s="5">
        <v>6</v>
      </c>
      <c r="B8" s="19">
        <v>108</v>
      </c>
      <c r="C8" s="20">
        <v>97</v>
      </c>
      <c r="D8" s="20">
        <v>180</v>
      </c>
      <c r="E8" s="20">
        <v>74</v>
      </c>
      <c r="F8" s="20">
        <v>71</v>
      </c>
      <c r="G8" s="20">
        <v>136</v>
      </c>
      <c r="H8" s="20">
        <v>125</v>
      </c>
      <c r="I8" s="20">
        <v>171</v>
      </c>
      <c r="J8" s="20">
        <v>175</v>
      </c>
      <c r="K8" s="20">
        <v>195</v>
      </c>
      <c r="L8" s="20">
        <v>265</v>
      </c>
      <c r="M8" s="20">
        <v>194</v>
      </c>
      <c r="N8" s="20">
        <v>317</v>
      </c>
      <c r="O8" s="20">
        <v>100</v>
      </c>
      <c r="P8" s="20">
        <v>333</v>
      </c>
      <c r="Q8" s="20">
        <v>181</v>
      </c>
      <c r="R8" s="21">
        <v>128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x14ac:dyDescent="0.25" r="9" customHeight="1" ht="16.5">
      <c r="A9" s="5">
        <v>7</v>
      </c>
      <c r="B9" s="19">
        <v>108</v>
      </c>
      <c r="C9" s="20">
        <v>97</v>
      </c>
      <c r="D9" s="20">
        <v>180</v>
      </c>
      <c r="E9" s="20">
        <v>74</v>
      </c>
      <c r="F9" s="20">
        <v>71</v>
      </c>
      <c r="G9" s="20">
        <v>136</v>
      </c>
      <c r="H9" s="20">
        <v>125</v>
      </c>
      <c r="I9" s="20">
        <v>171</v>
      </c>
      <c r="J9" s="20">
        <v>175</v>
      </c>
      <c r="K9" s="20">
        <v>195</v>
      </c>
      <c r="L9" s="20">
        <v>265</v>
      </c>
      <c r="M9" s="20">
        <v>194</v>
      </c>
      <c r="N9" s="20">
        <v>317</v>
      </c>
      <c r="O9" s="20">
        <v>100</v>
      </c>
      <c r="P9" s="20">
        <v>333</v>
      </c>
      <c r="Q9" s="20">
        <v>181</v>
      </c>
      <c r="R9" s="21">
        <v>128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x14ac:dyDescent="0.25" r="10" customHeight="1" ht="16.5">
      <c r="A10" s="5">
        <v>8</v>
      </c>
      <c r="B10" s="19">
        <v>108</v>
      </c>
      <c r="C10" s="20">
        <v>97</v>
      </c>
      <c r="D10" s="20">
        <v>180</v>
      </c>
      <c r="E10" s="20">
        <v>74</v>
      </c>
      <c r="F10" s="20">
        <v>71</v>
      </c>
      <c r="G10" s="20">
        <v>136</v>
      </c>
      <c r="H10" s="20">
        <v>125</v>
      </c>
      <c r="I10" s="20">
        <v>171</v>
      </c>
      <c r="J10" s="20">
        <v>175</v>
      </c>
      <c r="K10" s="20">
        <v>195</v>
      </c>
      <c r="L10" s="20">
        <v>265</v>
      </c>
      <c r="M10" s="20">
        <v>194</v>
      </c>
      <c r="N10" s="20">
        <v>317</v>
      </c>
      <c r="O10" s="20">
        <v>100</v>
      </c>
      <c r="P10" s="20">
        <v>333</v>
      </c>
      <c r="Q10" s="20">
        <v>181</v>
      </c>
      <c r="R10" s="21">
        <v>128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x14ac:dyDescent="0.25" r="11" customHeight="1" ht="16.5">
      <c r="A11" s="5">
        <v>9</v>
      </c>
      <c r="B11" s="19">
        <v>108</v>
      </c>
      <c r="C11" s="20">
        <v>97</v>
      </c>
      <c r="D11" s="20">
        <v>180</v>
      </c>
      <c r="E11" s="20">
        <v>74</v>
      </c>
      <c r="F11" s="20">
        <v>71</v>
      </c>
      <c r="G11" s="20">
        <v>136</v>
      </c>
      <c r="H11" s="20">
        <v>125</v>
      </c>
      <c r="I11" s="20">
        <v>171</v>
      </c>
      <c r="J11" s="20">
        <v>175</v>
      </c>
      <c r="K11" s="20">
        <v>195</v>
      </c>
      <c r="L11" s="20">
        <v>265</v>
      </c>
      <c r="M11" s="20">
        <v>194</v>
      </c>
      <c r="N11" s="20">
        <v>317</v>
      </c>
      <c r="O11" s="20">
        <v>100</v>
      </c>
      <c r="P11" s="20">
        <v>333</v>
      </c>
      <c r="Q11" s="20">
        <v>181</v>
      </c>
      <c r="R11" s="21">
        <v>128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x14ac:dyDescent="0.25" r="12" customHeight="1" ht="16.5">
      <c r="A12" s="22">
        <v>10</v>
      </c>
      <c r="B12" s="23">
        <v>108</v>
      </c>
      <c r="C12" s="24">
        <v>97</v>
      </c>
      <c r="D12" s="24">
        <v>180</v>
      </c>
      <c r="E12" s="24">
        <v>74</v>
      </c>
      <c r="F12" s="24">
        <v>71</v>
      </c>
      <c r="G12" s="24">
        <v>136</v>
      </c>
      <c r="H12" s="24">
        <v>125</v>
      </c>
      <c r="I12" s="24">
        <v>171</v>
      </c>
      <c r="J12" s="24">
        <v>175</v>
      </c>
      <c r="K12" s="24">
        <v>195</v>
      </c>
      <c r="L12" s="24">
        <v>265</v>
      </c>
      <c r="M12" s="24">
        <v>194</v>
      </c>
      <c r="N12" s="24">
        <v>317</v>
      </c>
      <c r="O12" s="24">
        <v>100</v>
      </c>
      <c r="P12" s="24">
        <v>333</v>
      </c>
      <c r="Q12" s="24">
        <v>181</v>
      </c>
      <c r="R12" s="25">
        <v>128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</sheetData>
  <mergeCells count="1">
    <mergeCell ref="B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11" width="11.862142857142858" customWidth="1" bestFit="1"/>
    <col min="2" max="2" style="11" width="11.862142857142858" customWidth="1" bestFit="1"/>
  </cols>
  <sheetData>
    <row x14ac:dyDescent="0.25" r="1" customHeight="1" ht="16.5">
      <c r="A1" s="4" t="s">
        <v>19</v>
      </c>
      <c r="B1" s="4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/>
  </sheetViews>
  <sheetFormatPr defaultRowHeight="15" x14ac:dyDescent="0.25"/>
  <cols>
    <col min="1" max="1" style="7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  <col min="7" max="7" style="10" width="11.862142857142858" customWidth="1" bestFit="1"/>
    <col min="8" max="8" style="10" width="11.862142857142858" customWidth="1" bestFit="1"/>
    <col min="9" max="9" style="10" width="11.862142857142858" customWidth="1" bestFit="1"/>
    <col min="10" max="10" style="10" width="11.862142857142858" customWidth="1" bestFit="1"/>
    <col min="11" max="11" style="6" width="11.862142857142858" customWidth="1" bestFit="1"/>
    <col min="12" max="12" style="6" width="11.862142857142858" customWidth="1" bestFit="1"/>
  </cols>
  <sheetData>
    <row x14ac:dyDescent="0.25" r="1" customHeight="1" ht="16.5">
      <c r="A1" s="2" t="s">
        <v>2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1" t="s">
        <v>15</v>
      </c>
      <c r="L1" s="1" t="s">
        <v>16</v>
      </c>
    </row>
    <row x14ac:dyDescent="0.25" r="2" customHeight="1" ht="16.5">
      <c r="A2" s="4" t="s">
        <v>17</v>
      </c>
      <c r="B2" s="3">
        <v>1</v>
      </c>
      <c r="C2" s="3">
        <v>70</v>
      </c>
      <c r="D2" s="3">
        <v>0</v>
      </c>
      <c r="E2" s="3">
        <v>70</v>
      </c>
      <c r="F2" s="3">
        <v>0</v>
      </c>
      <c r="G2" s="9">
        <v>0.7</v>
      </c>
      <c r="H2" s="9">
        <v>0.8</v>
      </c>
      <c r="I2" s="3">
        <v>120</v>
      </c>
      <c r="J2" s="9">
        <v>50</v>
      </c>
      <c r="K2" s="9">
        <v>80</v>
      </c>
      <c r="L2" s="3">
        <v>3</v>
      </c>
    </row>
    <row x14ac:dyDescent="0.25" r="3" customHeight="1" ht="16.5">
      <c r="A3" s="4" t="s">
        <v>18</v>
      </c>
      <c r="B3" s="3">
        <v>2</v>
      </c>
      <c r="C3" s="3">
        <v>50</v>
      </c>
      <c r="D3" s="3">
        <v>0</v>
      </c>
      <c r="E3" s="3">
        <v>50</v>
      </c>
      <c r="F3" s="3">
        <v>0</v>
      </c>
      <c r="G3" s="9">
        <v>0.6</v>
      </c>
      <c r="H3" s="9">
        <v>0.7</v>
      </c>
      <c r="I3" s="9">
        <v>100</v>
      </c>
      <c r="J3" s="9">
        <v>30</v>
      </c>
      <c r="K3" s="3">
        <v>50</v>
      </c>
      <c r="L3" s="3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6" width="11.862142857142858" customWidth="1" bestFit="1"/>
    <col min="3" max="3" style="7" width="11.862142857142858" customWidth="1" bestFit="1"/>
    <col min="4" max="4" style="6" width="11.862142857142858" customWidth="1" bestFit="1"/>
    <col min="5" max="5" style="6" width="11.862142857142858" customWidth="1" bestFit="1"/>
    <col min="6" max="6" style="6" width="11.862142857142858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>
        <v>0</v>
      </c>
      <c r="B2" s="3">
        <v>5</v>
      </c>
      <c r="C2" s="4" t="s">
        <v>6</v>
      </c>
      <c r="D2" s="3">
        <v>0</v>
      </c>
      <c r="E2" s="3">
        <v>0</v>
      </c>
      <c r="F2" s="3">
        <v>1</v>
      </c>
    </row>
    <row x14ac:dyDescent="0.25" r="3" customHeight="1" ht="18.75">
      <c r="A3" s="5">
        <v>1</v>
      </c>
      <c r="B3" s="3">
        <v>5</v>
      </c>
      <c r="C3" s="4" t="s">
        <v>6</v>
      </c>
      <c r="D3" s="3">
        <v>0</v>
      </c>
      <c r="E3" s="3">
        <v>0</v>
      </c>
      <c r="F3" s="3">
        <v>1</v>
      </c>
    </row>
    <row x14ac:dyDescent="0.25" r="4" customHeight="1" ht="18.75">
      <c r="A4" s="5">
        <v>2</v>
      </c>
      <c r="B4" s="3">
        <v>5</v>
      </c>
      <c r="C4" s="4" t="s">
        <v>6</v>
      </c>
      <c r="D4" s="3">
        <v>0</v>
      </c>
      <c r="E4" s="3">
        <v>0</v>
      </c>
      <c r="F4" s="3">
        <v>1</v>
      </c>
    </row>
    <row x14ac:dyDescent="0.25" r="5" customHeight="1" ht="18.75">
      <c r="A5" s="5">
        <v>3</v>
      </c>
      <c r="B5" s="3">
        <v>5</v>
      </c>
      <c r="C5" s="4" t="s">
        <v>6</v>
      </c>
      <c r="D5" s="3">
        <v>0</v>
      </c>
      <c r="E5" s="3">
        <v>0</v>
      </c>
      <c r="F5" s="3">
        <v>1</v>
      </c>
    </row>
    <row x14ac:dyDescent="0.25" r="6" customHeight="1" ht="18.75">
      <c r="A6" s="5">
        <v>4</v>
      </c>
      <c r="B6" s="3">
        <v>5</v>
      </c>
      <c r="C6" s="4" t="s">
        <v>6</v>
      </c>
      <c r="D6" s="3">
        <v>0</v>
      </c>
      <c r="E6" s="3">
        <v>0</v>
      </c>
      <c r="F6" s="3">
        <v>1</v>
      </c>
    </row>
    <row x14ac:dyDescent="0.25" r="7" customHeight="1" ht="18.75">
      <c r="A7" s="5">
        <v>5</v>
      </c>
      <c r="B7" s="3">
        <v>5</v>
      </c>
      <c r="C7" s="4" t="s">
        <v>6</v>
      </c>
      <c r="D7" s="3">
        <v>0</v>
      </c>
      <c r="E7" s="3">
        <v>0</v>
      </c>
      <c r="F7" s="3">
        <v>1</v>
      </c>
    </row>
    <row x14ac:dyDescent="0.25" r="8" customHeight="1" ht="18.75">
      <c r="A8" s="5">
        <v>6</v>
      </c>
      <c r="B8" s="3">
        <v>5</v>
      </c>
      <c r="C8" s="4" t="s">
        <v>6</v>
      </c>
      <c r="D8" s="3">
        <v>0</v>
      </c>
      <c r="E8" s="3">
        <v>0</v>
      </c>
      <c r="F8" s="3">
        <v>1</v>
      </c>
    </row>
    <row x14ac:dyDescent="0.25" r="9" customHeight="1" ht="18.75">
      <c r="A9" s="5">
        <v>7</v>
      </c>
      <c r="B9" s="3">
        <v>5</v>
      </c>
      <c r="C9" s="4" t="s">
        <v>6</v>
      </c>
      <c r="D9" s="3">
        <v>0</v>
      </c>
      <c r="E9" s="3">
        <v>0</v>
      </c>
      <c r="F9" s="3">
        <v>1</v>
      </c>
    </row>
    <row x14ac:dyDescent="0.25" r="10" customHeight="1" ht="18.75">
      <c r="A10" s="5">
        <v>8</v>
      </c>
      <c r="B10" s="3">
        <v>5</v>
      </c>
      <c r="C10" s="4" t="s">
        <v>6</v>
      </c>
      <c r="D10" s="3">
        <v>0</v>
      </c>
      <c r="E10" s="3">
        <v>0</v>
      </c>
      <c r="F10" s="3">
        <v>1</v>
      </c>
    </row>
    <row x14ac:dyDescent="0.25" r="11" customHeight="1" ht="18.75">
      <c r="A11" s="5">
        <v>9</v>
      </c>
      <c r="B11" s="3">
        <v>5</v>
      </c>
      <c r="C11" s="4" t="s">
        <v>6</v>
      </c>
      <c r="D11" s="3">
        <v>0</v>
      </c>
      <c r="E11" s="3">
        <v>0</v>
      </c>
      <c r="F1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zonalNTC</vt:lpstr>
      <vt:lpstr>generator</vt:lpstr>
      <vt:lpstr>baseMVA</vt:lpstr>
      <vt:lpstr>timeseries</vt:lpstr>
      <vt:lpstr>zone</vt:lpstr>
      <vt:lpstr>Battery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2023-06-12T12:22:59.474Z</dcterms:created>
  <dcterms:modified xsi:type="dcterms:W3CDTF">2023-06-12T12:22:59.474Z</dcterms:modified>
</cp:coreProperties>
</file>